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sar\OneDrive\Desktop\Bluestock-Internship\Bluestock-Internship\dashboard\"/>
    </mc:Choice>
  </mc:AlternateContent>
  <xr:revisionPtr revIDLastSave="0" documentId="8_{0405F777-82CA-41EC-8220-B14887A53911}" xr6:coauthVersionLast="47" xr6:coauthVersionMax="47" xr10:uidLastSave="{00000000-0000-0000-0000-000000000000}"/>
  <bookViews>
    <workbookView xWindow="-108" yWindow="-108" windowWidth="23256" windowHeight="12456" activeTab="4" xr2:uid="{5990F687-D9C8-4BDC-B24B-69EBD39F1743}"/>
  </bookViews>
  <sheets>
    <sheet name="Sheet1" sheetId="2" r:id="rId1"/>
    <sheet name="Sheet2" sheetId="3" r:id="rId2"/>
    <sheet name="Sheet3" sheetId="4" r:id="rId3"/>
    <sheet name="cleaned_scheme_performance" sheetId="1" r:id="rId4"/>
    <sheet name="Dashboard" sheetId="5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<sst xmlns="http://schemas.openxmlformats.org/spreadsheetml/2006/main" count="261" uniqueCount="99">
  <si>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</si>
  <si>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</si>
  <si>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</si>
  <si>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</si>
  <si>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</si>
  <si>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</si>
  <si>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</si>
  <si>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</si>
  <si>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</si>
  <si>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</si>
  <si>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</si>
  <si>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</si>
  <si>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</si>
  <si>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</si>
  <si>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</si>
  <si>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</si>
  <si>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</si>
  <si>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</si>
  <si>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</si>
  <si>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</si>
  <si>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</si>
  <si>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</si>
  <si>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</si>
  <si>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</si>
  <si>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</si>
  <si>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</si>
  <si>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</si>
  <si>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</si>
  <si>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</si>
  <si>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</si>
  <si>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</si>
  <si>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</si>
  <si>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</si>
  <si>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</si>
  <si>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</si>
  <si>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</si>
  <si>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</si>
  <si>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</si>
  <si>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</si>
  <si>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</si>
  <si>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</si>
  <si>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</si>
  <si>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</si>
  <si>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</si>
  <si>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</si>
  <si>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</si>
  <si>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</si>
  <si>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</si>
  <si>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</si>
  <si>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</si>
  <si>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</si>
  <si>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</si>
  <si>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</si>
  <si>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</si>
  <si>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</si>
  <si>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</si>
  <si>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</si>
  <si>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</si>
  <si>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</si>
  <si>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</si>
  <si>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</si>
  <si>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</si>
  <si>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</si>
  <si>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</si>
  <si>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</si>
  <si>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</si>
  <si>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</si>
  <si>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</si>
  <si>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</si>
  <si>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</si>
  <si>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</si>
  <si>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</si>
  <si>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</si>
  <si>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</si>
  <si>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</si>
  <si>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</si>
  <si>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</si>
  <si>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</si>
  <si>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</si>
  <si>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</si>
  <si>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</si>
  <si>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</si>
  <si>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</si>
  <si>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</si>
  <si>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</si>
  <si>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</si>
  <si>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</si>
  <si>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</si>
  <si>
    <t>Row Labels</t>
  </si>
  <si>
    <t>Grand Total</t>
  </si>
  <si>
    <t>Average of return_5yr_pct</t>
  </si>
  <si>
    <t>Sum of aum_crore</t>
  </si>
  <si>
    <t>Count of scheme_name</t>
  </si>
  <si>
    <t>Mutual Fund Performance Dashboard</t>
  </si>
  <si>
    <t>Total Schemes</t>
  </si>
  <si>
    <t>Fund Houses</t>
  </si>
  <si>
    <t>Avg 5-Year Return</t>
  </si>
  <si>
    <t>Avg Expense Ratio</t>
  </si>
  <si>
    <t>Avg 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</si>
</sst>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/>
    </xf>
    <xf numFmtId="10" fontId="19" fillId="33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5-Year Return by Category</a:t>
            </a:r>
          </a:p>
        </c:rich>
      </c:tx>
      <c:layout>
        <c:manualLayout>
          <c:xMode val="edge"/>
          <c:yMode val="edge"/>
          <c:x val="0.15378608923884515"/>
          <c:y val="0.13496474705367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Sheet1!$A$2:$A$14</c:f>
              <c:strCache>
                <c:ptCount val="12"/>
                <c:pt idx="0">
                  <c:v>ELSS</c:v>
                </c:pt>
                <c:pt idx="1">
                  <c:v>Flexi Cap</c:v>
                </c:pt>
                <c:pt idx="2">
                  <c:v>Gilt</c:v>
                </c:pt>
                <c:pt idx="3">
                  <c:v>Index</c:v>
                </c:pt>
                <c:pt idx="4">
                  <c:v>Index/ETF</c:v>
                </c:pt>
                <c:pt idx="5">
                  <c:v>Large &amp; Mid Cap</c:v>
                </c:pt>
                <c:pt idx="6">
                  <c:v>Large Cap</c:v>
                </c:pt>
                <c:pt idx="7">
                  <c:v>Liquid</c:v>
                </c:pt>
                <c:pt idx="8">
                  <c:v>Mid Cap</c:v>
                </c:pt>
                <c:pt idx="9">
                  <c:v>Short Duration</c:v>
                </c:pt>
                <c:pt idx="10">
                  <c:v>Small Cap</c:v>
                </c:pt>
                <c:pt idx="11">
                  <c:v>Value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14.26</c:v>
                </c:pt>
                <c:pt idx="1">
                  <c:v>14.64</c:v>
                </c:pt>
                <c:pt idx="2">
                  <c:v>7.07</c:v>
                </c:pt>
                <c:pt idx="3">
                  <c:v>11.31</c:v>
                </c:pt>
                <c:pt idx="4">
                  <c:v>12.31</c:v>
                </c:pt>
                <c:pt idx="5">
                  <c:v>15.68</c:v>
                </c:pt>
                <c:pt idx="6">
                  <c:v>13.320714285714285</c:v>
                </c:pt>
                <c:pt idx="7">
                  <c:v>8.0499999999999989</c:v>
                </c:pt>
                <c:pt idx="8">
                  <c:v>17.52</c:v>
                </c:pt>
                <c:pt idx="9">
                  <c:v>6.41</c:v>
                </c:pt>
                <c:pt idx="10">
                  <c:v>21.900000000000002</c:v>
                </c:pt>
                <c:pt idx="11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5-4196-BA94-F9AFE63F82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0660288"/>
        <c:axId val="1330655968"/>
      </c:barChart>
      <c:catAx>
        <c:axId val="13306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55968"/>
        <c:crosses val="autoZero"/>
        <c:auto val="1"/>
        <c:lblAlgn val="ctr"/>
        <c:lblOffset val="100"/>
        <c:noMultiLvlLbl val="0"/>
      </c:catAx>
      <c:valAx>
        <c:axId val="13306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6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AUM by Fund House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Sheet2!$A$2:$A$12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104108</c:v>
                </c:pt>
                <c:pt idx="1">
                  <c:v>92210</c:v>
                </c:pt>
                <c:pt idx="2">
                  <c:v>114787</c:v>
                </c:pt>
                <c:pt idx="3">
                  <c:v>86975</c:v>
                </c:pt>
                <c:pt idx="4">
                  <c:v>120241</c:v>
                </c:pt>
                <c:pt idx="5">
                  <c:v>145689</c:v>
                </c:pt>
                <c:pt idx="6">
                  <c:v>63396</c:v>
                </c:pt>
                <c:pt idx="7">
                  <c:v>154328</c:v>
                </c:pt>
                <c:pt idx="8">
                  <c:v>94940</c:v>
                </c:pt>
                <c:pt idx="9">
                  <c:v>66990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C-4E97-86CF-3C926A036B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0670848"/>
        <c:axId val="1330671808"/>
      </c:barChart>
      <c:catAx>
        <c:axId val="13306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71808"/>
        <c:crosses val="autoZero"/>
        <c:auto val="1"/>
        <c:lblAlgn val="ctr"/>
        <c:lblOffset val="100"/>
        <c:noMultiLvlLbl val="0"/>
      </c:catAx>
      <c:valAx>
        <c:axId val="1330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Grade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Sheet3!$A$2:$A$7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Moderately High</c:v>
                </c:pt>
                <c:pt idx="4">
                  <c:v>Very High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16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4-4FAC-9512-F059EA2E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5-Year Return by Category</a:t>
            </a:r>
          </a:p>
        </c:rich>
      </c:tx>
      <c:layout>
        <c:manualLayout>
          <c:xMode val="edge"/>
          <c:yMode val="edge"/>
          <c:x val="0.15378608923884515"/>
          <c:y val="0.13496474705367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Sheet1!$A$2:$A$14</c:f>
              <c:strCache>
                <c:ptCount val="12"/>
                <c:pt idx="0">
                  <c:v>ELSS</c:v>
                </c:pt>
                <c:pt idx="1">
                  <c:v>Flexi Cap</c:v>
                </c:pt>
                <c:pt idx="2">
                  <c:v>Gilt</c:v>
                </c:pt>
                <c:pt idx="3">
                  <c:v>Index</c:v>
                </c:pt>
                <c:pt idx="4">
                  <c:v>Index/ETF</c:v>
                </c:pt>
                <c:pt idx="5">
                  <c:v>Large &amp; Mid Cap</c:v>
                </c:pt>
                <c:pt idx="6">
                  <c:v>Large Cap</c:v>
                </c:pt>
                <c:pt idx="7">
                  <c:v>Liquid</c:v>
                </c:pt>
                <c:pt idx="8">
                  <c:v>Mid Cap</c:v>
                </c:pt>
                <c:pt idx="9">
                  <c:v>Short Duration</c:v>
                </c:pt>
                <c:pt idx="10">
                  <c:v>Small Cap</c:v>
                </c:pt>
                <c:pt idx="11">
                  <c:v>Value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14.26</c:v>
                </c:pt>
                <c:pt idx="1">
                  <c:v>14.64</c:v>
                </c:pt>
                <c:pt idx="2">
                  <c:v>7.07</c:v>
                </c:pt>
                <c:pt idx="3">
                  <c:v>11.31</c:v>
                </c:pt>
                <c:pt idx="4">
                  <c:v>12.31</c:v>
                </c:pt>
                <c:pt idx="5">
                  <c:v>15.68</c:v>
                </c:pt>
                <c:pt idx="6">
                  <c:v>13.320714285714285</c:v>
                </c:pt>
                <c:pt idx="7">
                  <c:v>8.0499999999999989</c:v>
                </c:pt>
                <c:pt idx="8">
                  <c:v>17.52</c:v>
                </c:pt>
                <c:pt idx="9">
                  <c:v>6.41</c:v>
                </c:pt>
                <c:pt idx="10">
                  <c:v>21.900000000000002</c:v>
                </c:pt>
                <c:pt idx="11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6-47F0-A425-38E232E13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0660288"/>
        <c:axId val="1330655968"/>
      </c:barChart>
      <c:catAx>
        <c:axId val="13306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55968"/>
        <c:crosses val="autoZero"/>
        <c:auto val="1"/>
        <c:lblAlgn val="ctr"/>
        <c:lblOffset val="100"/>
        <c:noMultiLvlLbl val="0"/>
      </c:catAx>
      <c:valAx>
        <c:axId val="13306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6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AUM by Fund House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Sheet2!$A$2:$A$12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104108</c:v>
                </c:pt>
                <c:pt idx="1">
                  <c:v>92210</c:v>
                </c:pt>
                <c:pt idx="2">
                  <c:v>114787</c:v>
                </c:pt>
                <c:pt idx="3">
                  <c:v>86975</c:v>
                </c:pt>
                <c:pt idx="4">
                  <c:v>120241</c:v>
                </c:pt>
                <c:pt idx="5">
                  <c:v>145689</c:v>
                </c:pt>
                <c:pt idx="6">
                  <c:v>63396</c:v>
                </c:pt>
                <c:pt idx="7">
                  <c:v>154328</c:v>
                </c:pt>
                <c:pt idx="8">
                  <c:v>94940</c:v>
                </c:pt>
                <c:pt idx="9">
                  <c:v>66990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0-402F-B9E9-3520E2B6A2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0670848"/>
        <c:axId val="1330671808"/>
      </c:barChart>
      <c:catAx>
        <c:axId val="13306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71808"/>
        <c:crosses val="autoZero"/>
        <c:auto val="1"/>
        <c:lblAlgn val="ctr"/>
        <c:lblOffset val="100"/>
        <c:noMultiLvlLbl val="0"/>
      </c:catAx>
      <c:valAx>
        <c:axId val="1330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[cleaned_scheme_performance. new.xlsx]Sheet3!PivotTable3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Grade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4C-40B3-B2A5-F4A700B21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4C-40B3-B2A5-F4A700B21B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4C-40B3-B2A5-F4A700B21B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4C-40B3-B2A5-F4A700B21B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4C-40B3-B2A5-F4A700B21BFF}"/>
              </c:ext>
            </c:extLst>
          </c:dPt>
          <c:cat>
            <c:strRef>
              <c:f>Sheet3!$A$2:$A$7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Moderately High</c:v>
                </c:pt>
                <c:pt idx="4">
                  <c:v>Very High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16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4C-40B3-B2A5-F4A700B2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83820</xdr:rowOff>
    </xdr:from>
    <xdr:to>
      <xdr:col>7</xdr:col>
      <xdr:colOff>601980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FA653-85D4-1A24-993F-BD432AF03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95E34-2A68-9528-267D-5C7F46BF4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82378-8AF1-B010-2D9D-DD4D2E38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1318260</xdr:colOff>
      <xdr:row>4</xdr:row>
      <xdr:rowOff>175260</xdr:rowOff>
    </xdr:from>
    <xdr:to>
      <xdr:col>4</xdr:col>
      <xdr:colOff>1196340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993AD-4EDC-4450-B6F1-80FF98E25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327660</xdr:colOff>
      <xdr:row>3</xdr:row>
      <xdr:rowOff>106680</xdr:rowOff>
    </xdr:from>
    <xdr:to>
      <xdr:col>10</xdr:col>
      <xdr:colOff>38100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5B9BEC-94A4-40FE-9CD6-06F811D34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365760</xdr:colOff>
      <xdr:row>22</xdr:row>
      <xdr:rowOff>167640</xdr:rowOff>
    </xdr:from>
    <xdr:to>
      <xdr:col>7</xdr:col>
      <xdr:colOff>251460</xdr:colOff>
      <xdr:row>37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BC652B-66EA-4FD6-A87C-A943E9A71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arga P" refreshedDate="46235.521619675928" createdVersion="8" refreshedVersion="8" minRefreshableVersion="3" recordCount="40" xr:uid="{3A85E6C5-1EA5-4146-8E48-6BE4AD81462A}">
  <cacheSource type="worksheet">
    <worksheetSource name="Table1"/>
  </cacheSource>
  <cacheFields count="19">
    <cacheField name="amfi_code" numFmtId="0">
      <sharedItems containsSemiMixedTypes="0" containsString="0" containsNumber="1" containsInteger="1" minValue="100016" maxValue="149324"/>
    </cacheField>
    <cacheField name="scheme_name" numFmtId="0">
      <sharedItems/>
    </cacheField>
    <cacheField name="fund_house" numFmtId="0">
      <sharedItems count="10">
        <s v="SBI Mutual Fund"/>
        <s v="HDFC Mutual Fund"/>
        <s v="ICICI Prudential MF"/>
        <s v="Nippon India MF"/>
        <s v="Kotak Mahindra MF"/>
        <s v="Axis Mutual Fund"/>
        <s v="Aditya Birla Sun Life MF"/>
        <s v="UTI Mutual Fund"/>
        <s v="Mirae Asset MF"/>
        <s v="DSP Mutual Fund"/>
      </sharedItems>
    </cacheField>
    <cacheField name="category" numFmtId="0">
      <sharedItems count="12">
        <s v="Large Cap"/>
        <s v="Small Cap"/>
        <s v="Gilt"/>
        <s v="Mid Cap"/>
        <s v="Short Duration"/>
        <s v="Value"/>
        <s v="Liquid"/>
        <s v="Index/ETF"/>
        <s v="Flexi Cap"/>
        <s v="Index"/>
        <s v="Large &amp; Mid Cap"/>
        <s v="ELSS"/>
      </sharedItems>
    </cacheField>
    <cacheField name="plan" numFmtId="0">
      <sharedItems/>
    </cacheField>
    <cacheField name="return_1yr_pct" numFmtId="0">
      <sharedItems containsSemiMixedTypes="0" containsString="0" containsNumber="1" minValue="4.26" maxValue="24.93"/>
    </cacheField>
    <cacheField name="return_3yr_pct" numFmtId="0">
      <sharedItems containsSemiMixedTypes="0" containsString="0" containsNumber="1" minValue="5.14" maxValue="23.39"/>
    </cacheField>
    <cacheField name="return_5yr_pct" numFmtId="0">
      <sharedItems containsSemiMixedTypes="0" containsString="0" containsNumber="1" minValue="5.43" maxValue="23.8"/>
    </cacheField>
    <cacheField name="benchmark_3yr_pct" numFmtId="0">
      <sharedItems containsSemiMixedTypes="0" containsString="0" containsNumber="1" minValue="3.96" maxValue="22.16"/>
    </cacheField>
    <cacheField name="alpha" numFmtId="0">
      <sharedItems containsSemiMixedTypes="0" containsString="0" containsNumber="1" minValue="0.51" maxValue="1.98"/>
    </cacheField>
    <cacheField name="beta" numFmtId="0">
      <sharedItems containsSemiMixedTypes="0" containsString="0" containsNumber="1" minValue="0.22" maxValue="1.04"/>
    </cacheField>
    <cacheField name="sharpe_ratio" numFmtId="0">
      <sharedItems containsSemiMixedTypes="0" containsString="0" containsNumber="1" minValue="0.8" maxValue="7.68"/>
    </cacheField>
    <cacheField name="sortino_ratio" numFmtId="0">
      <sharedItems containsSemiMixedTypes="0" containsString="0" containsNumber="1" minValue="1.03" maxValue="10.37"/>
    </cacheField>
    <cacheField name="std_dev_ann_pct" numFmtId="0">
      <sharedItems containsSemiMixedTypes="0" containsString="0" containsNumber="1" minValue="0.5" maxValue="25"/>
    </cacheField>
    <cacheField name="max_drawdown_pct" numFmtId="0">
      <sharedItems containsSemiMixedTypes="0" containsString="0" containsNumber="1" minValue="-33.5" maxValue="-2.23"/>
    </cacheField>
    <cacheField name="aum_crore" numFmtId="0">
      <sharedItems containsSemiMixedTypes="0" containsString="0" containsNumber="1" containsInteger="1" minValue="979" maxValue="49046"/>
    </cacheField>
    <cacheField name="expense_ratio_pct" numFmtId="0">
      <sharedItems containsSemiMixedTypes="0" containsString="0" containsNumber="1" minValue="0.55000000000000004" maxValue="1.64"/>
    </cacheField>
    <cacheField name="morningstar_rating" numFmtId="0">
      <sharedItems containsSemiMixedTypes="0" containsString="0" containsNumber="1" containsInteger="1" minValue="3" maxValue="5"/>
    </cacheField>
    <cacheField name="risk_grade" numFmtId="0">
      <sharedItems count="5">
        <s v="Moderate"/>
        <s v="Very High"/>
        <s v="Low"/>
        <s v="High"/>
        <s v="Moderatel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9551"/>
    <s v="SBI Bluechip Fund - Regular Plan - Growth"/>
    <x v="0"/>
    <x v="0"/>
    <s v="Regular"/>
    <n v="12.42"/>
    <n v="12.36"/>
    <n v="14.45"/>
    <n v="11.49"/>
    <n v="0.87"/>
    <n v="0.89"/>
    <n v="0.88"/>
    <n v="1.29"/>
    <n v="14"/>
    <n v="-21.7"/>
    <n v="14288"/>
    <n v="1.54"/>
    <n v="4"/>
    <x v="0"/>
  </r>
  <r>
    <n v="119552"/>
    <s v="SBI Bluechip Fund - Direct Plan - Growth"/>
    <x v="0"/>
    <x v="0"/>
    <s v="Direct"/>
    <n v="15.25"/>
    <n v="11.3"/>
    <n v="14.23"/>
    <n v="9.52"/>
    <n v="1.78"/>
    <n v="0.87"/>
    <n v="0.81"/>
    <n v="1.29"/>
    <n v="14"/>
    <n v="-24.43"/>
    <n v="1231"/>
    <n v="0.66"/>
    <n v="3"/>
    <x v="0"/>
  </r>
  <r>
    <n v="119598"/>
    <s v="SBI Small Cap Fund - Regular Plan - Growth"/>
    <x v="0"/>
    <x v="1"/>
    <s v="Regular"/>
    <n v="24.56"/>
    <n v="23.39"/>
    <n v="20.67"/>
    <n v="22.16"/>
    <n v="1.23"/>
    <n v="0.89"/>
    <n v="0.94"/>
    <n v="1.35"/>
    <n v="25"/>
    <n v="-13.35"/>
    <n v="19259"/>
    <n v="1.43"/>
    <n v="5"/>
    <x v="1"/>
  </r>
  <r>
    <n v="119599"/>
    <s v="SBI Small Cap Fund - Direct Plan - Growth"/>
    <x v="0"/>
    <x v="1"/>
    <s v="Direct"/>
    <n v="20.59"/>
    <n v="23.14"/>
    <n v="21.82"/>
    <n v="22.01"/>
    <n v="1.1299999999999999"/>
    <n v="1.04"/>
    <n v="0.93"/>
    <n v="1.67"/>
    <n v="25"/>
    <n v="-24.78"/>
    <n v="36061"/>
    <n v="0.72"/>
    <n v="4"/>
    <x v="1"/>
  </r>
  <r>
    <n v="119120"/>
    <s v="SBI Magnum Gilt Fund - Regular Plan - Growth"/>
    <x v="0"/>
    <x v="2"/>
    <s v="Regular"/>
    <n v="5.34"/>
    <n v="6.07"/>
    <n v="5.43"/>
    <n v="4.47"/>
    <n v="1.6"/>
    <n v="0.22"/>
    <n v="1.52"/>
    <n v="2.11"/>
    <n v="4"/>
    <n v="-2.2999999999999998"/>
    <n v="24101"/>
    <n v="0.77"/>
    <n v="5"/>
    <x v="2"/>
  </r>
  <r>
    <n v="100016"/>
    <s v="HDFC Top 100 Fund - Regular Plan - Growth"/>
    <x v="1"/>
    <x v="0"/>
    <s v="Regular"/>
    <n v="10.94"/>
    <n v="14.84"/>
    <n v="11.32"/>
    <n v="14.06"/>
    <n v="0.78"/>
    <n v="0.97"/>
    <n v="1.06"/>
    <n v="1.7"/>
    <n v="14"/>
    <n v="-17.41"/>
    <n v="6434"/>
    <n v="1.55"/>
    <n v="5"/>
    <x v="0"/>
  </r>
  <r>
    <n v="125497"/>
    <s v="HDFC Top 100 Fund - Direct Plan - Growth"/>
    <x v="1"/>
    <x v="0"/>
    <s v="Direct"/>
    <n v="11.48"/>
    <n v="13.38"/>
    <n v="13.48"/>
    <n v="12.25"/>
    <n v="1.1299999999999999"/>
    <n v="0.97"/>
    <n v="0.96"/>
    <n v="1.45"/>
    <n v="14"/>
    <n v="-33.5"/>
    <n v="10611"/>
    <n v="0.92"/>
    <n v="4"/>
    <x v="0"/>
  </r>
  <r>
    <n v="100033"/>
    <s v="HDFC Mid-Cap Opportunities Fund - Regular - Growth"/>
    <x v="1"/>
    <x v="3"/>
    <s v="Regular"/>
    <n v="15.43"/>
    <n v="16.579999999999998"/>
    <n v="17.690000000000001"/>
    <n v="15.63"/>
    <n v="0.95"/>
    <n v="0.91"/>
    <n v="0.87"/>
    <n v="1.44"/>
    <n v="19"/>
    <n v="-13.67"/>
    <n v="23185"/>
    <n v="1.38"/>
    <n v="5"/>
    <x v="3"/>
  </r>
  <r>
    <n v="125498"/>
    <s v="HDFC Mid-Cap Opportunities Fund - Direct - Growth"/>
    <x v="1"/>
    <x v="3"/>
    <s v="Direct"/>
    <n v="19.98"/>
    <n v="15.29"/>
    <n v="15.85"/>
    <n v="14.39"/>
    <n v="0.9"/>
    <n v="1.04"/>
    <n v="0.8"/>
    <n v="1.38"/>
    <n v="19"/>
    <n v="-32.22"/>
    <n v="18792"/>
    <n v="0.78"/>
    <n v="4"/>
    <x v="3"/>
  </r>
  <r>
    <n v="100025"/>
    <s v="HDFC Short Term Debt Fund - Regular - Growth"/>
    <x v="1"/>
    <x v="4"/>
    <s v="Regular"/>
    <n v="6.83"/>
    <n v="7.37"/>
    <n v="6.41"/>
    <n v="5.39"/>
    <n v="1.98"/>
    <n v="0.44"/>
    <n v="1.84"/>
    <n v="2.79"/>
    <n v="4"/>
    <n v="-6.01"/>
    <n v="27953"/>
    <n v="0.56000000000000005"/>
    <n v="3"/>
    <x v="2"/>
  </r>
  <r>
    <n v="120503"/>
    <s v="ICICI Pru Bluechip Fund - Regular - Growth"/>
    <x v="2"/>
    <x v="0"/>
    <s v="Regular"/>
    <n v="15.63"/>
    <n v="11.54"/>
    <n v="11.46"/>
    <n v="10.88"/>
    <n v="0.66"/>
    <n v="0.96"/>
    <n v="0.82"/>
    <n v="1.1200000000000001"/>
    <n v="14"/>
    <n v="-25.91"/>
    <n v="36022"/>
    <n v="1.42"/>
    <n v="4"/>
    <x v="0"/>
  </r>
  <r>
    <n v="120504"/>
    <s v="ICICI Pru Bluechip Fund - Direct - Growth"/>
    <x v="2"/>
    <x v="0"/>
    <s v="Direct"/>
    <n v="14.12"/>
    <n v="14.41"/>
    <n v="13.02"/>
    <n v="13.53"/>
    <n v="0.88"/>
    <n v="1.03"/>
    <n v="1.03"/>
    <n v="1.27"/>
    <n v="14"/>
    <n v="-26.59"/>
    <n v="41553"/>
    <n v="0.8"/>
    <n v="3"/>
    <x v="0"/>
  </r>
  <r>
    <n v="120505"/>
    <s v="ICICI Pru Midcap Fund - Regular - Growth"/>
    <x v="2"/>
    <x v="3"/>
    <s v="Regular"/>
    <n v="14.02"/>
    <n v="18.079999999999998"/>
    <n v="17.55"/>
    <n v="17.190000000000001"/>
    <n v="0.89"/>
    <n v="1"/>
    <n v="0.95"/>
    <n v="1.45"/>
    <n v="19"/>
    <n v="-21.84"/>
    <n v="979"/>
    <n v="1.36"/>
    <n v="3"/>
    <x v="3"/>
  </r>
  <r>
    <n v="120506"/>
    <s v="ICICI Pru Value Discovery Fund - Regular - Growth"/>
    <x v="2"/>
    <x v="5"/>
    <s v="Regular"/>
    <n v="16.670000000000002"/>
    <n v="14.76"/>
    <n v="12.6"/>
    <n v="14.21"/>
    <n v="0.55000000000000004"/>
    <n v="0.92"/>
    <n v="0.98"/>
    <n v="1.5"/>
    <n v="15"/>
    <n v="-21.89"/>
    <n v="2571"/>
    <n v="1.41"/>
    <n v="4"/>
    <x v="4"/>
  </r>
  <r>
    <n v="120507"/>
    <s v="ICICI Pru Liquid Fund - Regular - Growth"/>
    <x v="2"/>
    <x v="6"/>
    <s v="Regular"/>
    <n v="8.89"/>
    <n v="7.68"/>
    <n v="7.94"/>
    <n v="5.83"/>
    <n v="1.85"/>
    <n v="0.26"/>
    <n v="7.68"/>
    <n v="10.37"/>
    <n v="0.5"/>
    <n v="-2.62"/>
    <n v="39116"/>
    <n v="0.74"/>
    <n v="5"/>
    <x v="2"/>
  </r>
  <r>
    <n v="118632"/>
    <s v="Nippon India Large Cap Fund - Regular - Growth"/>
    <x v="3"/>
    <x v="0"/>
    <s v="Regular"/>
    <n v="15.84"/>
    <n v="14"/>
    <n v="14.7"/>
    <n v="13.14"/>
    <n v="0.86"/>
    <n v="0.88"/>
    <n v="1"/>
    <n v="1.68"/>
    <n v="14"/>
    <n v="-16.07"/>
    <n v="20909"/>
    <n v="1.51"/>
    <n v="4"/>
    <x v="0"/>
  </r>
  <r>
    <n v="118633"/>
    <s v="Nippon India Large Cap Fund - Direct - Growth"/>
    <x v="3"/>
    <x v="0"/>
    <s v="Direct"/>
    <n v="14.42"/>
    <n v="12.33"/>
    <n v="14.72"/>
    <n v="10.63"/>
    <n v="1.7"/>
    <n v="1.02"/>
    <n v="0.88"/>
    <n v="1.48"/>
    <n v="14"/>
    <n v="-18.14"/>
    <n v="39475"/>
    <n v="0.72"/>
    <n v="3"/>
    <x v="0"/>
  </r>
  <r>
    <n v="118634"/>
    <s v="Nippon India Small Cap Fund - Regular - Growth"/>
    <x v="3"/>
    <x v="1"/>
    <s v="Regular"/>
    <n v="21.3"/>
    <n v="20.149999999999999"/>
    <n v="21.88"/>
    <n v="19.350000000000001"/>
    <n v="0.8"/>
    <n v="1.03"/>
    <n v="0.81"/>
    <n v="1.1399999999999999"/>
    <n v="25"/>
    <n v="-30.87"/>
    <n v="43630"/>
    <n v="1.53"/>
    <n v="4"/>
    <x v="1"/>
  </r>
  <r>
    <n v="118635"/>
    <s v="Nippon India ETF Nifty 50 BeES"/>
    <x v="3"/>
    <x v="7"/>
    <s v="Direct"/>
    <n v="10.14"/>
    <n v="11.77"/>
    <n v="12.31"/>
    <n v="9.9700000000000006"/>
    <n v="1.8"/>
    <n v="1.04"/>
    <n v="0.91"/>
    <n v="1.24"/>
    <n v="13"/>
    <n v="-26.75"/>
    <n v="20284"/>
    <n v="0.89"/>
    <n v="5"/>
    <x v="0"/>
  </r>
  <r>
    <n v="118636"/>
    <s v="Nippon India Gilt Securities Fund - Regular - Growth"/>
    <x v="3"/>
    <x v="2"/>
    <s v="Regular"/>
    <n v="6.19"/>
    <n v="5.31"/>
    <n v="8.7100000000000009"/>
    <n v="4.42"/>
    <n v="0.89"/>
    <n v="0.37"/>
    <n v="1.33"/>
    <n v="2.38"/>
    <n v="4"/>
    <n v="-2.23"/>
    <n v="30030"/>
    <n v="0.55000000000000004"/>
    <n v="4"/>
    <x v="2"/>
  </r>
  <r>
    <n v="120841"/>
    <s v="Kotak Bluechip Fund - Regular - Growth"/>
    <x v="4"/>
    <x v="0"/>
    <s v="Regular"/>
    <n v="14.37"/>
    <n v="12.25"/>
    <n v="13.42"/>
    <n v="10.98"/>
    <n v="1.27"/>
    <n v="0.93"/>
    <n v="0.87"/>
    <n v="1.34"/>
    <n v="14"/>
    <n v="-17.86"/>
    <n v="35585"/>
    <n v="1.59"/>
    <n v="3"/>
    <x v="0"/>
  </r>
  <r>
    <n v="120842"/>
    <s v="Kotak Emerging Equity Fund - Regular - Growth"/>
    <x v="4"/>
    <x v="3"/>
    <s v="Regular"/>
    <n v="17.12"/>
    <n v="18.23"/>
    <n v="17.75"/>
    <n v="16.32"/>
    <n v="1.91"/>
    <n v="1"/>
    <n v="0.96"/>
    <n v="1.27"/>
    <n v="19"/>
    <n v="-21.92"/>
    <n v="47469"/>
    <n v="1.56"/>
    <n v="4"/>
    <x v="3"/>
  </r>
  <r>
    <n v="120843"/>
    <s v="Kotak Flexicap Fund - Regular - Growth"/>
    <x v="4"/>
    <x v="8"/>
    <s v="Regular"/>
    <n v="15.74"/>
    <n v="15.65"/>
    <n v="13.5"/>
    <n v="13.8"/>
    <n v="1.85"/>
    <n v="0.95"/>
    <n v="0.98"/>
    <n v="1.57"/>
    <n v="16"/>
    <n v="-19.5"/>
    <n v="35012"/>
    <n v="1.45"/>
    <n v="5"/>
    <x v="4"/>
  </r>
  <r>
    <n v="120844"/>
    <s v="Kotak Liquid Fund - Regular - Growth"/>
    <x v="4"/>
    <x v="6"/>
    <s v="Regular"/>
    <n v="4.26"/>
    <n v="6.18"/>
    <n v="8.26"/>
    <n v="4.66"/>
    <n v="1.52"/>
    <n v="0.47"/>
    <n v="6.18"/>
    <n v="9.6999999999999993"/>
    <n v="0.5"/>
    <n v="-3.81"/>
    <n v="27623"/>
    <n v="0.6"/>
    <n v="3"/>
    <x v="2"/>
  </r>
  <r>
    <n v="119092"/>
    <s v="Axis Bluechip Fund - Regular - Growth"/>
    <x v="5"/>
    <x v="0"/>
    <s v="Regular"/>
    <n v="11.82"/>
    <n v="11.84"/>
    <n v="14.14"/>
    <n v="10.43"/>
    <n v="1.41"/>
    <n v="0.91"/>
    <n v="0.85"/>
    <n v="1.25"/>
    <n v="14"/>
    <n v="-27.54"/>
    <n v="25803"/>
    <n v="1.64"/>
    <n v="4"/>
    <x v="0"/>
  </r>
  <r>
    <n v="119093"/>
    <s v="Axis Bluechip Fund - Direct - Growth"/>
    <x v="5"/>
    <x v="0"/>
    <s v="Direct"/>
    <n v="13.95"/>
    <n v="12.14"/>
    <n v="13.66"/>
    <n v="10.71"/>
    <n v="1.43"/>
    <n v="0.87"/>
    <n v="0.87"/>
    <n v="1.54"/>
    <n v="14"/>
    <n v="-17.399999999999999"/>
    <n v="15866"/>
    <n v="0.75"/>
    <n v="4"/>
    <x v="0"/>
  </r>
  <r>
    <n v="119094"/>
    <s v="Axis Midcap Fund - Regular - Growth"/>
    <x v="5"/>
    <x v="3"/>
    <s v="Regular"/>
    <n v="14.88"/>
    <n v="15.18"/>
    <n v="18.940000000000001"/>
    <n v="13.76"/>
    <n v="1.42"/>
    <n v="1"/>
    <n v="0.8"/>
    <n v="1.18"/>
    <n v="19"/>
    <n v="-32.380000000000003"/>
    <n v="28996"/>
    <n v="1.38"/>
    <n v="5"/>
    <x v="3"/>
  </r>
  <r>
    <n v="119095"/>
    <s v="Axis Small Cap Fund - Regular - Growth"/>
    <x v="5"/>
    <x v="1"/>
    <s v="Regular"/>
    <n v="21.97"/>
    <n v="20.98"/>
    <n v="22.62"/>
    <n v="20.47"/>
    <n v="0.51"/>
    <n v="1"/>
    <n v="0.84"/>
    <n v="1.4"/>
    <n v="25"/>
    <n v="-14.45"/>
    <n v="21545"/>
    <n v="1.38"/>
    <n v="4"/>
    <x v="1"/>
  </r>
  <r>
    <n v="101206"/>
    <s v="ABSL Frontline Equity Fund - Regular - Growth"/>
    <x v="6"/>
    <x v="0"/>
    <s v="Regular"/>
    <n v="14.82"/>
    <n v="13.78"/>
    <n v="12.86"/>
    <n v="12.44"/>
    <n v="1.34"/>
    <n v="1.03"/>
    <n v="0.98"/>
    <n v="1.25"/>
    <n v="14"/>
    <n v="-15.07"/>
    <n v="23500"/>
    <n v="1.6"/>
    <n v="5"/>
    <x v="0"/>
  </r>
  <r>
    <n v="101207"/>
    <s v="ABSL Small Cap Fund - Regular - Growth"/>
    <x v="6"/>
    <x v="1"/>
    <s v="Regular"/>
    <n v="24.93"/>
    <n v="22.38"/>
    <n v="23.8"/>
    <n v="20.54"/>
    <n v="1.84"/>
    <n v="0.97"/>
    <n v="0.9"/>
    <n v="1.47"/>
    <n v="25"/>
    <n v="-23.61"/>
    <n v="41613"/>
    <n v="1.53"/>
    <n v="5"/>
    <x v="1"/>
  </r>
  <r>
    <n v="101208"/>
    <s v="ABSL Liquid Fund - Regular - Growth"/>
    <x v="6"/>
    <x v="6"/>
    <s v="Regular"/>
    <n v="6.18"/>
    <n v="5.14"/>
    <n v="7.95"/>
    <n v="3.96"/>
    <n v="1.18"/>
    <n v="0.43"/>
    <n v="5.14"/>
    <n v="8.76"/>
    <n v="0.5"/>
    <n v="-3.66"/>
    <n v="38995"/>
    <n v="0.79"/>
    <n v="5"/>
    <x v="2"/>
  </r>
  <r>
    <n v="102885"/>
    <s v="UTI Nifty 50 Index Fund - Regular - Growth"/>
    <x v="7"/>
    <x v="9"/>
    <s v="Regular"/>
    <n v="13.76"/>
    <n v="12.1"/>
    <n v="11.31"/>
    <n v="11.17"/>
    <n v="0.93"/>
    <n v="0.9"/>
    <n v="0.93"/>
    <n v="1.29"/>
    <n v="13"/>
    <n v="-24.42"/>
    <n v="7350"/>
    <n v="1.57"/>
    <n v="4"/>
    <x v="0"/>
  </r>
  <r>
    <n v="102886"/>
    <s v="UTI Mid Cap Fund - Regular - Growth"/>
    <x v="7"/>
    <x v="3"/>
    <s v="Regular"/>
    <n v="16.3"/>
    <n v="15.61"/>
    <n v="15.86"/>
    <n v="14.49"/>
    <n v="1.1200000000000001"/>
    <n v="0.92"/>
    <n v="0.82"/>
    <n v="1.21"/>
    <n v="19"/>
    <n v="-13.43"/>
    <n v="41728"/>
    <n v="1.51"/>
    <n v="5"/>
    <x v="3"/>
  </r>
  <r>
    <n v="102887"/>
    <s v="UTI Flexi Cap Fund - Regular - Growth"/>
    <x v="7"/>
    <x v="8"/>
    <s v="Regular"/>
    <n v="17.43"/>
    <n v="15.34"/>
    <n v="15.78"/>
    <n v="13.55"/>
    <n v="1.79"/>
    <n v="1"/>
    <n v="0.96"/>
    <n v="1.37"/>
    <n v="16"/>
    <n v="-12.14"/>
    <n v="17912"/>
    <n v="1.64"/>
    <n v="5"/>
    <x v="4"/>
  </r>
  <r>
    <n v="148567"/>
    <s v="Mirae Asset Large Cap Fund - Regular - Growth"/>
    <x v="8"/>
    <x v="0"/>
    <s v="Regular"/>
    <n v="15.12"/>
    <n v="14.81"/>
    <n v="12.68"/>
    <n v="13.19"/>
    <n v="1.62"/>
    <n v="0.96"/>
    <n v="1.06"/>
    <n v="1.66"/>
    <n v="14"/>
    <n v="-17.07"/>
    <n v="11361"/>
    <n v="1.46"/>
    <n v="5"/>
    <x v="0"/>
  </r>
  <r>
    <n v="148568"/>
    <s v="Mirae Asset Emerging Bluechip Fund - Regular - Growth"/>
    <x v="8"/>
    <x v="10"/>
    <s v="Regular"/>
    <n v="14.91"/>
    <n v="14.56"/>
    <n v="15.68"/>
    <n v="12.86"/>
    <n v="1.7"/>
    <n v="0.99"/>
    <n v="0.91"/>
    <n v="1.55"/>
    <n v="16"/>
    <n v="-33.15"/>
    <n v="49046"/>
    <n v="1.52"/>
    <n v="5"/>
    <x v="4"/>
  </r>
  <r>
    <n v="148569"/>
    <s v="Mirae Asset Tax Saver Fund - Regular - Growth"/>
    <x v="8"/>
    <x v="11"/>
    <s v="Regular"/>
    <n v="11.16"/>
    <n v="13.58"/>
    <n v="14.26"/>
    <n v="13.04"/>
    <n v="0.54"/>
    <n v="0.98"/>
    <n v="0.8"/>
    <n v="1.03"/>
    <n v="17"/>
    <n v="-22.62"/>
    <n v="2989"/>
    <n v="1.6"/>
    <n v="5"/>
    <x v="3"/>
  </r>
  <r>
    <n v="149322"/>
    <s v="DSP Top 100 Equity Fund - Regular - Growth"/>
    <x v="9"/>
    <x v="0"/>
    <s v="Regular"/>
    <n v="11.96"/>
    <n v="12.82"/>
    <n v="12.35"/>
    <n v="11"/>
    <n v="1.82"/>
    <n v="0.91"/>
    <n v="0.92"/>
    <n v="1.63"/>
    <n v="14"/>
    <n v="-21.7"/>
    <n v="41828"/>
    <n v="1.54"/>
    <n v="5"/>
    <x v="0"/>
  </r>
  <r>
    <n v="149323"/>
    <s v="DSP Midcap Fund - Regular - Growth"/>
    <x v="9"/>
    <x v="3"/>
    <s v="Regular"/>
    <n v="14.12"/>
    <n v="17.16"/>
    <n v="19"/>
    <n v="16.14"/>
    <n v="1.02"/>
    <n v="0.98"/>
    <n v="0.9"/>
    <n v="1.5"/>
    <n v="19"/>
    <n v="-26.99"/>
    <n v="37835"/>
    <n v="1.61"/>
    <n v="4"/>
    <x v="3"/>
  </r>
  <r>
    <n v="149324"/>
    <s v="DSP Small Cap Fund - Regular - Growth"/>
    <x v="9"/>
    <x v="1"/>
    <s v="Regular"/>
    <n v="20.2"/>
    <n v="20.079999999999998"/>
    <n v="20.61"/>
    <n v="19.39"/>
    <n v="0.69"/>
    <n v="0.98"/>
    <n v="0.8"/>
    <n v="1.23"/>
    <n v="25"/>
    <n v="-17.010000000000002"/>
    <n v="35124"/>
    <n v="1.52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4110F-2867-4DFF-9E73-858DD23BFFB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4" firstHeaderRow="1" firstDataRow="1" firstDataCol="1"/>
  <pivotFields count="19">
    <pivotField showAll="0"/>
    <pivotField showAll="0"/>
    <pivotField showAll="0"/>
    <pivotField axis="axisRow" showAll="0">
      <items count="13">
        <item x="11"/>
        <item x="8"/>
        <item x="2"/>
        <item x="9"/>
        <item x="7"/>
        <item x="10"/>
        <item x="0"/>
        <item x="6"/>
        <item x="3"/>
        <item x="4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eturn_5yr_pct" fld="7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D60D0-21F9-4418-AA6C-9FC3FC1A29E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19">
    <pivotField showAll="0"/>
    <pivotField showAll="0"/>
    <pivotField axis="axisRow" showAll="0">
      <items count="11">
        <item x="6"/>
        <item x="5"/>
        <item x="9"/>
        <item x="1"/>
        <item x="2"/>
        <item x="4"/>
        <item x="8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um_cror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21919-A304-42D8-8F43-55947B3200F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7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cheme_name"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D2FCE-A9C9-478A-8190-4559BA460775}" name="Table1" displayName="Table1" ref="A1:S41" totalsRowShown="0">
  <autoFilter ref="A1:S41" xr:uid="{C57D2FCE-A9C9-478A-8190-4559BA460775}"/>
  <tableColumns count="19">
    <tableColumn id="1" xr3:uid="{D99AA579-3C26-4B38-897F-C75A8E7B9858}" name="amfi_code"/>
    <tableColumn id="2" xr3:uid="{153E9651-4CA4-4183-9AAB-A39EFCA8F5F2}" name="scheme_name"/>
    <tableColumn id="3" xr3:uid="{75A5CE9B-4FF0-44B8-A204-BDB86BB3911E}" name="fund_house"/>
    <tableColumn id="4" xr3:uid="{562F4139-42FA-40C5-8C87-170DC407927D}" name="category"/>
    <tableColumn id="5" xr3:uid="{96706F01-1030-424D-9A64-7F463476E013}" name="plan"/>
    <tableColumn id="6" xr3:uid="{3D7D7CB3-C254-414C-94F1-1EB100732692}" name="return_1yr_pct"/>
    <tableColumn id="7" xr3:uid="{9C75D633-889D-45F0-9E75-D9B513BE2148}" name="return_3yr_pct"/>
    <tableColumn id="8" xr3:uid="{4AA34836-65D0-4BA3-9650-DD1AAF8F0C48}" name="return_5yr_pct"/>
    <tableColumn id="9" xr3:uid="{34F66CE0-7A55-4F6E-963F-55B217764044}" name="benchmark_3yr_pct"/>
    <tableColumn id="10" xr3:uid="{A8514C93-43C9-4AC8-812F-F140E1A7772C}" name="alpha"/>
    <tableColumn id="11" xr3:uid="{91AC71A0-6604-4E26-98B7-B1DCCE115F51}" name="beta"/>
    <tableColumn id="12" xr3:uid="{38567FC3-087F-462F-986E-7E4ED347D54A}" name="sharpe_ratio"/>
    <tableColumn id="13" xr3:uid="{556A6B72-C682-4EA3-9C7C-CE22E74FA825}" name="sortino_ratio"/>
    <tableColumn id="14" xr3:uid="{910B370C-BEC9-40D3-886C-A69A31BBB9A1}" name="std_dev_ann_pct"/>
    <tableColumn id="15" xr3:uid="{B239F69B-24F2-4298-8AF4-B49C966AEFE3}" name="max_drawdown_pct"/>
    <tableColumn id="16" xr3:uid="{125581F1-22A2-43AC-B6A9-65C31AE11192}" name="aum_crore"/>
    <tableColumn id="17" xr3:uid="{4DF36CCF-A86C-4508-BF9B-3EA8D77D35A5}" name="expense_ratio_pct"/>
    <tableColumn id="18" xr3:uid="{023B62C3-89A2-41F1-B952-81E1CD473841}" name="morningstar_rating"/>
    <tableColumn id="19" xr3:uid="{716D849B-3E05-41B0-8E02-1639F0B7DEF9}" name="risk_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19EC-7BE4-4E2C-8FF7-957B969E3ADD}">
  <dimension ref="A1:B14"/>
  <sheetViews>
    <sheetView workbookViewId="0">
      <selection activeCell="L15" sqref="L15"/>
    </sheetView>
  </sheetViews>
  <sheetFormatPr defaultRowHeight="14.4" x14ac:dyDescent="0.3"/>
  <cols>
    <col min="1" max="1" width="13.88671875" bestFit="1" customWidth="1"/>
    <col min="2" max="2" width="22" bestFit="1" customWidth="1"/>
  </cols>
  <sheetData>
    <row r="1" spans="1:2" x14ac:dyDescent="0.3">
      <c r="A1" s="1" t="s">
        <v>88</v>
      </c>
      <c r="B1" t="s">
        <v>90</v>
      </c>
    </row>
    <row r="2" spans="1:2" x14ac:dyDescent="0.3">
      <c r="A2" s="2" t="s">
        <v>83</v>
      </c>
      <c r="B2" s="3">
        <v>14.26</v>
      </c>
    </row>
    <row r="3" spans="1:2" x14ac:dyDescent="0.3">
      <c r="A3" s="2" t="s">
        <v>62</v>
      </c>
      <c r="B3" s="3">
        <v>14.64</v>
      </c>
    </row>
    <row r="4" spans="1:2" x14ac:dyDescent="0.3">
      <c r="A4" s="2" t="s">
        <v>31</v>
      </c>
      <c r="B4" s="3">
        <v>7.07</v>
      </c>
    </row>
    <row r="5" spans="1:2" x14ac:dyDescent="0.3">
      <c r="A5" s="2" t="s">
        <v>75</v>
      </c>
      <c r="B5" s="3">
        <v>11.31</v>
      </c>
    </row>
    <row r="6" spans="1:2" x14ac:dyDescent="0.3">
      <c r="A6" s="2" t="s">
        <v>56</v>
      </c>
      <c r="B6" s="3">
        <v>12.31</v>
      </c>
    </row>
    <row r="7" spans="1:2" x14ac:dyDescent="0.3">
      <c r="A7" s="2" t="s">
        <v>81</v>
      </c>
      <c r="B7" s="3">
        <v>15.68</v>
      </c>
    </row>
    <row r="8" spans="1:2" x14ac:dyDescent="0.3">
      <c r="A8" s="2" t="s">
        <v>21</v>
      </c>
      <c r="B8" s="3">
        <v>13.320714285714285</v>
      </c>
    </row>
    <row r="9" spans="1:2" x14ac:dyDescent="0.3">
      <c r="A9" s="2" t="s">
        <v>50</v>
      </c>
      <c r="B9" s="3">
        <v>8.0499999999999989</v>
      </c>
    </row>
    <row r="10" spans="1:2" x14ac:dyDescent="0.3">
      <c r="A10" s="2" t="s">
        <v>37</v>
      </c>
      <c r="B10" s="3">
        <v>17.52</v>
      </c>
    </row>
    <row r="11" spans="1:2" x14ac:dyDescent="0.3">
      <c r="A11" s="2" t="s">
        <v>41</v>
      </c>
      <c r="B11" s="3">
        <v>6.41</v>
      </c>
    </row>
    <row r="12" spans="1:2" x14ac:dyDescent="0.3">
      <c r="A12" s="2" t="s">
        <v>27</v>
      </c>
      <c r="B12" s="3">
        <v>21.900000000000002</v>
      </c>
    </row>
    <row r="13" spans="1:2" x14ac:dyDescent="0.3">
      <c r="A13" s="2" t="s">
        <v>47</v>
      </c>
      <c r="B13" s="3">
        <v>12.6</v>
      </c>
    </row>
    <row r="14" spans="1:2" x14ac:dyDescent="0.3">
      <c r="A14" s="2" t="s">
        <v>89</v>
      </c>
      <c r="B14" s="3">
        <v>14.516749999999998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6F42-C234-4CE5-BE60-B17136A5CD33}">
  <dimension ref="A1:B12"/>
  <sheetViews>
    <sheetView topLeftCell="C1" workbookViewId="0">
      <selection activeCell="K19" sqref="K19"/>
    </sheetView>
  </sheetViews>
  <sheetFormatPr defaultRowHeight="14.4" x14ac:dyDescent="0.3"/>
  <cols>
    <col min="1" max="1" width="19.44140625" bestFit="1" customWidth="1"/>
    <col min="2" max="2" width="15.88671875" bestFit="1" customWidth="1"/>
  </cols>
  <sheetData>
    <row r="1" spans="1:2" x14ac:dyDescent="0.3">
      <c r="A1" s="1" t="s">
        <v>88</v>
      </c>
      <c r="B1" t="s">
        <v>91</v>
      </c>
    </row>
    <row r="2" spans="1:2" x14ac:dyDescent="0.3">
      <c r="A2" s="2" t="s">
        <v>70</v>
      </c>
      <c r="B2" s="3">
        <v>104108</v>
      </c>
    </row>
    <row r="3" spans="1:2" x14ac:dyDescent="0.3">
      <c r="A3" s="2" t="s">
        <v>65</v>
      </c>
      <c r="B3" s="3">
        <v>92210</v>
      </c>
    </row>
    <row r="4" spans="1:2" x14ac:dyDescent="0.3">
      <c r="A4" s="2" t="s">
        <v>85</v>
      </c>
      <c r="B4" s="3">
        <v>114787</v>
      </c>
    </row>
    <row r="5" spans="1:2" x14ac:dyDescent="0.3">
      <c r="A5" s="2" t="s">
        <v>34</v>
      </c>
      <c r="B5" s="3">
        <v>86975</v>
      </c>
    </row>
    <row r="6" spans="1:2" x14ac:dyDescent="0.3">
      <c r="A6" s="2" t="s">
        <v>43</v>
      </c>
      <c r="B6" s="3">
        <v>120241</v>
      </c>
    </row>
    <row r="7" spans="1:2" x14ac:dyDescent="0.3">
      <c r="A7" s="2" t="s">
        <v>59</v>
      </c>
      <c r="B7" s="3">
        <v>145689</v>
      </c>
    </row>
    <row r="8" spans="1:2" x14ac:dyDescent="0.3">
      <c r="A8" s="2" t="s">
        <v>79</v>
      </c>
      <c r="B8" s="3">
        <v>63396</v>
      </c>
    </row>
    <row r="9" spans="1:2" x14ac:dyDescent="0.3">
      <c r="A9" s="2" t="s">
        <v>52</v>
      </c>
      <c r="B9" s="3">
        <v>154328</v>
      </c>
    </row>
    <row r="10" spans="1:2" x14ac:dyDescent="0.3">
      <c r="A10" s="2" t="s">
        <v>20</v>
      </c>
      <c r="B10" s="3">
        <v>94940</v>
      </c>
    </row>
    <row r="11" spans="1:2" x14ac:dyDescent="0.3">
      <c r="A11" s="2" t="s">
        <v>74</v>
      </c>
      <c r="B11" s="3">
        <v>66990</v>
      </c>
    </row>
    <row r="12" spans="1:2" x14ac:dyDescent="0.3">
      <c r="A12" s="2" t="s">
        <v>89</v>
      </c>
      <c r="B12" s="3">
        <v>1043664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9CB5-4FFE-4F34-849D-3ADF663C9C68}">
  <dimension ref="A1:B7"/>
  <sheetViews>
    <sheetView topLeftCell="B1" workbookViewId="0">
      <selection activeCell="R10" sqref="R10"/>
    </sheetView>
  </sheetViews>
  <sheetFormatPr defaultRowHeight="14.4" x14ac:dyDescent="0.3"/>
  <cols>
    <col min="1" max="1" width="14" bestFit="1" customWidth="1"/>
    <col min="2" max="2" width="20.33203125" bestFit="1" customWidth="1"/>
  </cols>
  <sheetData>
    <row r="1" spans="1:2" x14ac:dyDescent="0.3">
      <c r="A1" s="1" t="s">
        <v>88</v>
      </c>
      <c r="B1" t="s">
        <v>92</v>
      </c>
    </row>
    <row r="2" spans="1:2" x14ac:dyDescent="0.3">
      <c r="A2" s="2" t="s">
        <v>38</v>
      </c>
      <c r="B2" s="3">
        <v>8</v>
      </c>
    </row>
    <row r="3" spans="1:2" x14ac:dyDescent="0.3">
      <c r="A3" s="2" t="s">
        <v>32</v>
      </c>
      <c r="B3" s="3">
        <v>6</v>
      </c>
    </row>
    <row r="4" spans="1:2" x14ac:dyDescent="0.3">
      <c r="A4" s="2" t="s">
        <v>23</v>
      </c>
      <c r="B4" s="3">
        <v>16</v>
      </c>
    </row>
    <row r="5" spans="1:2" x14ac:dyDescent="0.3">
      <c r="A5" s="2" t="s">
        <v>48</v>
      </c>
      <c r="B5" s="3">
        <v>4</v>
      </c>
    </row>
    <row r="6" spans="1:2" x14ac:dyDescent="0.3">
      <c r="A6" s="2" t="s">
        <v>28</v>
      </c>
      <c r="B6" s="3">
        <v>6</v>
      </c>
    </row>
    <row r="7" spans="1:2" x14ac:dyDescent="0.3">
      <c r="A7" s="2" t="s">
        <v>89</v>
      </c>
      <c r="B7" s="3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017A-8A2F-4202-BE95-A459CE6EBD27}">
  <dimension ref="A1:S41"/>
  <sheetViews>
    <sheetView topLeftCell="A2" workbookViewId="0">
      <selection activeCell="E10" sqref="E10"/>
    </sheetView>
  </sheetViews>
  <sheetFormatPr defaultRowHeight="14.4" x14ac:dyDescent="0.3"/>
  <cols>
    <col min="1" max="1" width="11.5546875" customWidth="1"/>
    <col min="2" max="2" width="14.88671875" customWidth="1"/>
    <col min="3" max="3" width="12.21875" customWidth="1"/>
    <col min="4" max="4" width="10" customWidth="1"/>
    <col min="6" max="8" width="14.77734375" customWidth="1"/>
    <col min="9" max="9" width="19.21875" customWidth="1"/>
    <col min="12" max="12" width="13.21875" customWidth="1"/>
    <col min="13" max="13" width="13.33203125" customWidth="1"/>
    <col min="14" max="14" width="16.6640625" customWidth="1"/>
    <col min="15" max="15" width="19.33203125" customWidth="1"/>
    <col min="16" max="16" width="11.6640625" customWidth="1"/>
    <col min="17" max="17" width="18" customWidth="1"/>
    <col min="18" max="18" width="18.44140625" customWidth="1"/>
    <col min="19" max="19" width="11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119551</v>
      </c>
      <c r="B2" t="s">
        <v>19</v>
      </c>
      <c r="C2" t="s">
        <v>20</v>
      </c>
      <c r="D2" t="s">
        <v>21</v>
      </c>
      <c r="E2" t="s">
        <v>22</v>
      </c>
      <c r="F2">
        <v>12.42</v>
      </c>
      <c r="G2">
        <v>12.36</v>
      </c>
      <c r="H2">
        <v>14.45</v>
      </c>
      <c r="I2">
        <v>11.49</v>
      </c>
      <c r="J2">
        <v>0.87</v>
      </c>
      <c r="K2">
        <v>0.89</v>
      </c>
      <c r="L2">
        <v>0.88</v>
      </c>
      <c r="M2">
        <v>1.29</v>
      </c>
      <c r="N2">
        <v>14</v>
      </c>
      <c r="O2">
        <v>-21.7</v>
      </c>
      <c r="P2">
        <v>14288</v>
      </c>
      <c r="Q2">
        <v>1.54</v>
      </c>
      <c r="R2">
        <v>4</v>
      </c>
      <c r="S2" t="s">
        <v>23</v>
      </c>
    </row>
    <row r="3" spans="1:19" x14ac:dyDescent="0.3">
      <c r="A3">
        <v>119552</v>
      </c>
      <c r="B3" t="s">
        <v>24</v>
      </c>
      <c r="C3" t="s">
        <v>20</v>
      </c>
      <c r="D3" t="s">
        <v>21</v>
      </c>
      <c r="E3" t="s">
        <v>25</v>
      </c>
      <c r="F3">
        <v>15.25</v>
      </c>
      <c r="G3">
        <v>11.3</v>
      </c>
      <c r="H3">
        <v>14.23</v>
      </c>
      <c r="I3">
        <v>9.52</v>
      </c>
      <c r="J3">
        <v>1.78</v>
      </c>
      <c r="K3">
        <v>0.87</v>
      </c>
      <c r="L3">
        <v>0.81</v>
      </c>
      <c r="M3">
        <v>1.29</v>
      </c>
      <c r="N3">
        <v>14</v>
      </c>
      <c r="O3">
        <v>-24.43</v>
      </c>
      <c r="P3">
        <v>1231</v>
      </c>
      <c r="Q3">
        <v>0.66</v>
      </c>
      <c r="R3">
        <v>3</v>
      </c>
      <c r="S3" t="s">
        <v>23</v>
      </c>
    </row>
    <row r="4" spans="1:19" x14ac:dyDescent="0.3">
      <c r="A4">
        <v>119598</v>
      </c>
      <c r="B4" t="s">
        <v>26</v>
      </c>
      <c r="C4" t="s">
        <v>20</v>
      </c>
      <c r="D4" t="s">
        <v>27</v>
      </c>
      <c r="E4" t="s">
        <v>22</v>
      </c>
      <c r="F4">
        <v>24.56</v>
      </c>
      <c r="G4">
        <v>23.39</v>
      </c>
      <c r="H4">
        <v>20.67</v>
      </c>
      <c r="I4">
        <v>22.16</v>
      </c>
      <c r="J4">
        <v>1.23</v>
      </c>
      <c r="K4">
        <v>0.89</v>
      </c>
      <c r="L4">
        <v>0.94</v>
      </c>
      <c r="M4">
        <v>1.35</v>
      </c>
      <c r="N4">
        <v>25</v>
      </c>
      <c r="O4">
        <v>-13.35</v>
      </c>
      <c r="P4">
        <v>19259</v>
      </c>
      <c r="Q4">
        <v>1.43</v>
      </c>
      <c r="R4">
        <v>5</v>
      </c>
      <c r="S4" t="s">
        <v>28</v>
      </c>
    </row>
    <row r="5" spans="1:19" x14ac:dyDescent="0.3">
      <c r="A5">
        <v>119599</v>
      </c>
      <c r="B5" t="s">
        <v>29</v>
      </c>
      <c r="C5" t="s">
        <v>20</v>
      </c>
      <c r="D5" t="s">
        <v>27</v>
      </c>
      <c r="E5" t="s">
        <v>25</v>
      </c>
      <c r="F5">
        <v>20.59</v>
      </c>
      <c r="G5">
        <v>23.14</v>
      </c>
      <c r="H5">
        <v>21.82</v>
      </c>
      <c r="I5">
        <v>22.01</v>
      </c>
      <c r="J5">
        <v>1.1299999999999999</v>
      </c>
      <c r="K5">
        <v>1.04</v>
      </c>
      <c r="L5">
        <v>0.93</v>
      </c>
      <c r="M5">
        <v>1.67</v>
      </c>
      <c r="N5">
        <v>25</v>
      </c>
      <c r="O5">
        <v>-24.78</v>
      </c>
      <c r="P5">
        <v>36061</v>
      </c>
      <c r="Q5">
        <v>0.72</v>
      </c>
      <c r="R5">
        <v>4</v>
      </c>
      <c r="S5" t="s">
        <v>28</v>
      </c>
    </row>
    <row r="6" spans="1:19" x14ac:dyDescent="0.3">
      <c r="A6">
        <v>119120</v>
      </c>
      <c r="B6" t="s">
        <v>30</v>
      </c>
      <c r="C6" t="s">
        <v>20</v>
      </c>
      <c r="D6" t="s">
        <v>31</v>
      </c>
      <c r="E6" t="s">
        <v>22</v>
      </c>
      <c r="F6">
        <v>5.34</v>
      </c>
      <c r="G6">
        <v>6.07</v>
      </c>
      <c r="H6">
        <v>5.43</v>
      </c>
      <c r="I6">
        <v>4.47</v>
      </c>
      <c r="J6">
        <v>1.6</v>
      </c>
      <c r="K6">
        <v>0.22</v>
      </c>
      <c r="L6">
        <v>1.52</v>
      </c>
      <c r="M6">
        <v>2.11</v>
      </c>
      <c r="N6">
        <v>4</v>
      </c>
      <c r="O6">
        <v>-2.2999999999999998</v>
      </c>
      <c r="P6">
        <v>24101</v>
      </c>
      <c r="Q6">
        <v>0.77</v>
      </c>
      <c r="R6">
        <v>5</v>
      </c>
      <c r="S6" t="s">
        <v>32</v>
      </c>
    </row>
    <row r="7" spans="1:19" x14ac:dyDescent="0.3">
      <c r="A7">
        <v>100016</v>
      </c>
      <c r="B7" t="s">
        <v>33</v>
      </c>
      <c r="C7" t="s">
        <v>34</v>
      </c>
      <c r="D7" t="s">
        <v>21</v>
      </c>
      <c r="E7" t="s">
        <v>22</v>
      </c>
      <c r="F7">
        <v>10.94</v>
      </c>
      <c r="G7">
        <v>14.84</v>
      </c>
      <c r="H7">
        <v>11.32</v>
      </c>
      <c r="I7">
        <v>14.06</v>
      </c>
      <c r="J7">
        <v>0.78</v>
      </c>
      <c r="K7">
        <v>0.97</v>
      </c>
      <c r="L7">
        <v>1.06</v>
      </c>
      <c r="M7">
        <v>1.7</v>
      </c>
      <c r="N7">
        <v>14</v>
      </c>
      <c r="O7">
        <v>-17.41</v>
      </c>
      <c r="P7">
        <v>6434</v>
      </c>
      <c r="Q7">
        <v>1.55</v>
      </c>
      <c r="R7">
        <v>5</v>
      </c>
      <c r="S7" t="s">
        <v>23</v>
      </c>
    </row>
    <row r="8" spans="1:19" x14ac:dyDescent="0.3">
      <c r="A8">
        <v>125497</v>
      </c>
      <c r="B8" t="s">
        <v>35</v>
      </c>
      <c r="C8" t="s">
        <v>34</v>
      </c>
      <c r="D8" t="s">
        <v>21</v>
      </c>
      <c r="E8" t="s">
        <v>25</v>
      </c>
      <c r="F8">
        <v>11.48</v>
      </c>
      <c r="G8">
        <v>13.38</v>
      </c>
      <c r="H8">
        <v>13.48</v>
      </c>
      <c r="I8">
        <v>12.25</v>
      </c>
      <c r="J8">
        <v>1.1299999999999999</v>
      </c>
      <c r="K8">
        <v>0.97</v>
      </c>
      <c r="L8">
        <v>0.96</v>
      </c>
      <c r="M8">
        <v>1.45</v>
      </c>
      <c r="N8">
        <v>14</v>
      </c>
      <c r="O8">
        <v>-33.5</v>
      </c>
      <c r="P8">
        <v>10611</v>
      </c>
      <c r="Q8">
        <v>0.92</v>
      </c>
      <c r="R8">
        <v>4</v>
      </c>
      <c r="S8" t="s">
        <v>23</v>
      </c>
    </row>
    <row r="9" spans="1:19" x14ac:dyDescent="0.3">
      <c r="A9">
        <v>100033</v>
      </c>
      <c r="B9" t="s">
        <v>36</v>
      </c>
      <c r="C9" t="s">
        <v>34</v>
      </c>
      <c r="D9" t="s">
        <v>37</v>
      </c>
      <c r="E9" t="s">
        <v>22</v>
      </c>
      <c r="F9">
        <v>15.43</v>
      </c>
      <c r="G9">
        <v>16.579999999999998</v>
      </c>
      <c r="H9">
        <v>17.690000000000001</v>
      </c>
      <c r="I9">
        <v>15.63</v>
      </c>
      <c r="J9">
        <v>0.95</v>
      </c>
      <c r="K9">
        <v>0.91</v>
      </c>
      <c r="L9">
        <v>0.87</v>
      </c>
      <c r="M9">
        <v>1.44</v>
      </c>
      <c r="N9">
        <v>19</v>
      </c>
      <c r="O9">
        <v>-13.67</v>
      </c>
      <c r="P9">
        <v>23185</v>
      </c>
      <c r="Q9">
        <v>1.38</v>
      </c>
      <c r="R9">
        <v>5</v>
      </c>
      <c r="S9" t="s">
        <v>38</v>
      </c>
    </row>
    <row r="10" spans="1:19" x14ac:dyDescent="0.3">
      <c r="A10">
        <v>125498</v>
      </c>
      <c r="B10" t="s">
        <v>39</v>
      </c>
      <c r="C10" t="s">
        <v>34</v>
      </c>
      <c r="D10" t="s">
        <v>37</v>
      </c>
      <c r="E10" t="s">
        <v>25</v>
      </c>
      <c r="F10">
        <v>19.98</v>
      </c>
      <c r="G10">
        <v>15.29</v>
      </c>
      <c r="H10">
        <v>15.85</v>
      </c>
      <c r="I10">
        <v>14.39</v>
      </c>
      <c r="J10">
        <v>0.9</v>
      </c>
      <c r="K10">
        <v>1.04</v>
      </c>
      <c r="L10">
        <v>0.8</v>
      </c>
      <c r="M10">
        <v>1.38</v>
      </c>
      <c r="N10">
        <v>19</v>
      </c>
      <c r="O10">
        <v>-32.22</v>
      </c>
      <c r="P10">
        <v>18792</v>
      </c>
      <c r="Q10">
        <v>0.78</v>
      </c>
      <c r="R10">
        <v>4</v>
      </c>
      <c r="S10" t="s">
        <v>38</v>
      </c>
    </row>
    <row r="11" spans="1:19" x14ac:dyDescent="0.3">
      <c r="A11">
        <v>100025</v>
      </c>
      <c r="B11" t="s">
        <v>40</v>
      </c>
      <c r="C11" t="s">
        <v>34</v>
      </c>
      <c r="D11" t="s">
        <v>41</v>
      </c>
      <c r="E11" t="s">
        <v>22</v>
      </c>
      <c r="F11">
        <v>6.83</v>
      </c>
      <c r="G11">
        <v>7.37</v>
      </c>
      <c r="H11">
        <v>6.41</v>
      </c>
      <c r="I11">
        <v>5.39</v>
      </c>
      <c r="J11">
        <v>1.98</v>
      </c>
      <c r="K11">
        <v>0.44</v>
      </c>
      <c r="L11">
        <v>1.84</v>
      </c>
      <c r="M11">
        <v>2.79</v>
      </c>
      <c r="N11">
        <v>4</v>
      </c>
      <c r="O11">
        <v>-6.01</v>
      </c>
      <c r="P11">
        <v>27953</v>
      </c>
      <c r="Q11">
        <v>0.56000000000000005</v>
      </c>
      <c r="R11">
        <v>3</v>
      </c>
      <c r="S11" t="s">
        <v>32</v>
      </c>
    </row>
    <row r="12" spans="1:19" x14ac:dyDescent="0.3">
      <c r="A12">
        <v>120503</v>
      </c>
      <c r="B12" t="s">
        <v>42</v>
      </c>
      <c r="C12" t="s">
        <v>43</v>
      </c>
      <c r="D12" t="s">
        <v>21</v>
      </c>
      <c r="E12" t="s">
        <v>22</v>
      </c>
      <c r="F12">
        <v>15.63</v>
      </c>
      <c r="G12">
        <v>11.54</v>
      </c>
      <c r="H12">
        <v>11.46</v>
      </c>
      <c r="I12">
        <v>10.88</v>
      </c>
      <c r="J12">
        <v>0.66</v>
      </c>
      <c r="K12">
        <v>0.96</v>
      </c>
      <c r="L12">
        <v>0.82</v>
      </c>
      <c r="M12">
        <v>1.1200000000000001</v>
      </c>
      <c r="N12">
        <v>14</v>
      </c>
      <c r="O12">
        <v>-25.91</v>
      </c>
      <c r="P12">
        <v>36022</v>
      </c>
      <c r="Q12">
        <v>1.42</v>
      </c>
      <c r="R12">
        <v>4</v>
      </c>
      <c r="S12" t="s">
        <v>23</v>
      </c>
    </row>
    <row r="13" spans="1:19" x14ac:dyDescent="0.3">
      <c r="A13">
        <v>120504</v>
      </c>
      <c r="B13" t="s">
        <v>44</v>
      </c>
      <c r="C13" t="s">
        <v>43</v>
      </c>
      <c r="D13" t="s">
        <v>21</v>
      </c>
      <c r="E13" t="s">
        <v>25</v>
      </c>
      <c r="F13">
        <v>14.12</v>
      </c>
      <c r="G13">
        <v>14.41</v>
      </c>
      <c r="H13">
        <v>13.02</v>
      </c>
      <c r="I13">
        <v>13.53</v>
      </c>
      <c r="J13">
        <v>0.88</v>
      </c>
      <c r="K13">
        <v>1.03</v>
      </c>
      <c r="L13">
        <v>1.03</v>
      </c>
      <c r="M13">
        <v>1.27</v>
      </c>
      <c r="N13">
        <v>14</v>
      </c>
      <c r="O13">
        <v>-26.59</v>
      </c>
      <c r="P13">
        <v>41553</v>
      </c>
      <c r="Q13">
        <v>0.8</v>
      </c>
      <c r="R13">
        <v>3</v>
      </c>
      <c r="S13" t="s">
        <v>23</v>
      </c>
    </row>
    <row r="14" spans="1:19" x14ac:dyDescent="0.3">
      <c r="A14">
        <v>120505</v>
      </c>
      <c r="B14" t="s">
        <v>45</v>
      </c>
      <c r="C14" t="s">
        <v>43</v>
      </c>
      <c r="D14" t="s">
        <v>37</v>
      </c>
      <c r="E14" t="s">
        <v>22</v>
      </c>
      <c r="F14">
        <v>14.02</v>
      </c>
      <c r="G14">
        <v>18.079999999999998</v>
      </c>
      <c r="H14">
        <v>17.55</v>
      </c>
      <c r="I14">
        <v>17.190000000000001</v>
      </c>
      <c r="J14">
        <v>0.89</v>
      </c>
      <c r="K14">
        <v>1</v>
      </c>
      <c r="L14">
        <v>0.95</v>
      </c>
      <c r="M14">
        <v>1.45</v>
      </c>
      <c r="N14">
        <v>19</v>
      </c>
      <c r="O14">
        <v>-21.84</v>
      </c>
      <c r="P14">
        <v>979</v>
      </c>
      <c r="Q14">
        <v>1.36</v>
      </c>
      <c r="R14">
        <v>3</v>
      </c>
      <c r="S14" t="s">
        <v>38</v>
      </c>
    </row>
    <row r="15" spans="1:19" x14ac:dyDescent="0.3">
      <c r="A15">
        <v>120506</v>
      </c>
      <c r="B15" t="s">
        <v>46</v>
      </c>
      <c r="C15" t="s">
        <v>43</v>
      </c>
      <c r="D15" t="s">
        <v>47</v>
      </c>
      <c r="E15" t="s">
        <v>22</v>
      </c>
      <c r="F15">
        <v>16.670000000000002</v>
      </c>
      <c r="G15">
        <v>14.76</v>
      </c>
      <c r="H15">
        <v>12.6</v>
      </c>
      <c r="I15">
        <v>14.21</v>
      </c>
      <c r="J15">
        <v>0.55000000000000004</v>
      </c>
      <c r="K15">
        <v>0.92</v>
      </c>
      <c r="L15">
        <v>0.98</v>
      </c>
      <c r="M15">
        <v>1.5</v>
      </c>
      <c r="N15">
        <v>15</v>
      </c>
      <c r="O15">
        <v>-21.89</v>
      </c>
      <c r="P15">
        <v>2571</v>
      </c>
      <c r="Q15">
        <v>1.41</v>
      </c>
      <c r="R15">
        <v>4</v>
      </c>
      <c r="S15" t="s">
        <v>48</v>
      </c>
    </row>
    <row r="16" spans="1:19" x14ac:dyDescent="0.3">
      <c r="A16">
        <v>120507</v>
      </c>
      <c r="B16" t="s">
        <v>49</v>
      </c>
      <c r="C16" t="s">
        <v>43</v>
      </c>
      <c r="D16" t="s">
        <v>50</v>
      </c>
      <c r="E16" t="s">
        <v>22</v>
      </c>
      <c r="F16">
        <v>8.89</v>
      </c>
      <c r="G16">
        <v>7.68</v>
      </c>
      <c r="H16">
        <v>7.94</v>
      </c>
      <c r="I16">
        <v>5.83</v>
      </c>
      <c r="J16">
        <v>1.85</v>
      </c>
      <c r="K16">
        <v>0.26</v>
      </c>
      <c r="L16">
        <v>7.68</v>
      </c>
      <c r="M16">
        <v>10.37</v>
      </c>
      <c r="N16">
        <v>0.5</v>
      </c>
      <c r="O16">
        <v>-2.62</v>
      </c>
      <c r="P16">
        <v>39116</v>
      </c>
      <c r="Q16">
        <v>0.74</v>
      </c>
      <c r="R16">
        <v>5</v>
      </c>
      <c r="S16" t="s">
        <v>32</v>
      </c>
    </row>
    <row r="17" spans="1:19" x14ac:dyDescent="0.3">
      <c r="A17">
        <v>118632</v>
      </c>
      <c r="B17" t="s">
        <v>51</v>
      </c>
      <c r="C17" t="s">
        <v>52</v>
      </c>
      <c r="D17" t="s">
        <v>21</v>
      </c>
      <c r="E17" t="s">
        <v>22</v>
      </c>
      <c r="F17">
        <v>15.84</v>
      </c>
      <c r="G17">
        <v>14</v>
      </c>
      <c r="H17">
        <v>14.7</v>
      </c>
      <c r="I17">
        <v>13.14</v>
      </c>
      <c r="J17">
        <v>0.86</v>
      </c>
      <c r="K17">
        <v>0.88</v>
      </c>
      <c r="L17">
        <v>1</v>
      </c>
      <c r="M17">
        <v>1.68</v>
      </c>
      <c r="N17">
        <v>14</v>
      </c>
      <c r="O17">
        <v>-16.07</v>
      </c>
      <c r="P17">
        <v>20909</v>
      </c>
      <c r="Q17">
        <v>1.51</v>
      </c>
      <c r="R17">
        <v>4</v>
      </c>
      <c r="S17" t="s">
        <v>23</v>
      </c>
    </row>
    <row r="18" spans="1:19" x14ac:dyDescent="0.3">
      <c r="A18">
        <v>118633</v>
      </c>
      <c r="B18" t="s">
        <v>53</v>
      </c>
      <c r="C18" t="s">
        <v>52</v>
      </c>
      <c r="D18" t="s">
        <v>21</v>
      </c>
      <c r="E18" t="s">
        <v>25</v>
      </c>
      <c r="F18">
        <v>14.42</v>
      </c>
      <c r="G18">
        <v>12.33</v>
      </c>
      <c r="H18">
        <v>14.72</v>
      </c>
      <c r="I18">
        <v>10.63</v>
      </c>
      <c r="J18">
        <v>1.7</v>
      </c>
      <c r="K18">
        <v>1.02</v>
      </c>
      <c r="L18">
        <v>0.88</v>
      </c>
      <c r="M18">
        <v>1.48</v>
      </c>
      <c r="N18">
        <v>14</v>
      </c>
      <c r="O18">
        <v>-18.14</v>
      </c>
      <c r="P18">
        <v>39475</v>
      </c>
      <c r="Q18">
        <v>0.72</v>
      </c>
      <c r="R18">
        <v>3</v>
      </c>
      <c r="S18" t="s">
        <v>23</v>
      </c>
    </row>
    <row r="19" spans="1:19" x14ac:dyDescent="0.3">
      <c r="A19">
        <v>118634</v>
      </c>
      <c r="B19" t="s">
        <v>54</v>
      </c>
      <c r="C19" t="s">
        <v>52</v>
      </c>
      <c r="D19" t="s">
        <v>27</v>
      </c>
      <c r="E19" t="s">
        <v>22</v>
      </c>
      <c r="F19">
        <v>21.3</v>
      </c>
      <c r="G19">
        <v>20.149999999999999</v>
      </c>
      <c r="H19">
        <v>21.88</v>
      </c>
      <c r="I19">
        <v>19.350000000000001</v>
      </c>
      <c r="J19">
        <v>0.8</v>
      </c>
      <c r="K19">
        <v>1.03</v>
      </c>
      <c r="L19">
        <v>0.81</v>
      </c>
      <c r="M19">
        <v>1.1399999999999999</v>
      </c>
      <c r="N19">
        <v>25</v>
      </c>
      <c r="O19">
        <v>-30.87</v>
      </c>
      <c r="P19">
        <v>43630</v>
      </c>
      <c r="Q19">
        <v>1.53</v>
      </c>
      <c r="R19">
        <v>4</v>
      </c>
      <c r="S19" t="s">
        <v>28</v>
      </c>
    </row>
    <row r="20" spans="1:19" x14ac:dyDescent="0.3">
      <c r="A20">
        <v>118635</v>
      </c>
      <c r="B20" t="s">
        <v>55</v>
      </c>
      <c r="C20" t="s">
        <v>52</v>
      </c>
      <c r="D20" t="s">
        <v>56</v>
      </c>
      <c r="E20" t="s">
        <v>25</v>
      </c>
      <c r="F20">
        <v>10.14</v>
      </c>
      <c r="G20">
        <v>11.77</v>
      </c>
      <c r="H20">
        <v>12.31</v>
      </c>
      <c r="I20">
        <v>9.9700000000000006</v>
      </c>
      <c r="J20">
        <v>1.8</v>
      </c>
      <c r="K20">
        <v>1.04</v>
      </c>
      <c r="L20">
        <v>0.91</v>
      </c>
      <c r="M20">
        <v>1.24</v>
      </c>
      <c r="N20">
        <v>13</v>
      </c>
      <c r="O20">
        <v>-26.75</v>
      </c>
      <c r="P20">
        <v>20284</v>
      </c>
      <c r="Q20">
        <v>0.89</v>
      </c>
      <c r="R20">
        <v>5</v>
      </c>
      <c r="S20" t="s">
        <v>23</v>
      </c>
    </row>
    <row r="21" spans="1:19" x14ac:dyDescent="0.3">
      <c r="A21">
        <v>118636</v>
      </c>
      <c r="B21" t="s">
        <v>57</v>
      </c>
      <c r="C21" t="s">
        <v>52</v>
      </c>
      <c r="D21" t="s">
        <v>31</v>
      </c>
      <c r="E21" t="s">
        <v>22</v>
      </c>
      <c r="F21">
        <v>6.19</v>
      </c>
      <c r="G21">
        <v>5.31</v>
      </c>
      <c r="H21">
        <v>8.7100000000000009</v>
      </c>
      <c r="I21">
        <v>4.42</v>
      </c>
      <c r="J21">
        <v>0.89</v>
      </c>
      <c r="K21">
        <v>0.37</v>
      </c>
      <c r="L21">
        <v>1.33</v>
      </c>
      <c r="M21">
        <v>2.38</v>
      </c>
      <c r="N21">
        <v>4</v>
      </c>
      <c r="O21">
        <v>-2.23</v>
      </c>
      <c r="P21">
        <v>30030</v>
      </c>
      <c r="Q21">
        <v>0.55000000000000004</v>
      </c>
      <c r="R21">
        <v>4</v>
      </c>
      <c r="S21" t="s">
        <v>32</v>
      </c>
    </row>
    <row r="22" spans="1:19" x14ac:dyDescent="0.3">
      <c r="A22">
        <v>120841</v>
      </c>
      <c r="B22" t="s">
        <v>58</v>
      </c>
      <c r="C22" t="s">
        <v>59</v>
      </c>
      <c r="D22" t="s">
        <v>21</v>
      </c>
      <c r="E22" t="s">
        <v>22</v>
      </c>
      <c r="F22">
        <v>14.37</v>
      </c>
      <c r="G22">
        <v>12.25</v>
      </c>
      <c r="H22">
        <v>13.42</v>
      </c>
      <c r="I22">
        <v>10.98</v>
      </c>
      <c r="J22">
        <v>1.27</v>
      </c>
      <c r="K22">
        <v>0.93</v>
      </c>
      <c r="L22">
        <v>0.87</v>
      </c>
      <c r="M22">
        <v>1.34</v>
      </c>
      <c r="N22">
        <v>14</v>
      </c>
      <c r="O22">
        <v>-17.86</v>
      </c>
      <c r="P22">
        <v>35585</v>
      </c>
      <c r="Q22">
        <v>1.59</v>
      </c>
      <c r="R22">
        <v>3</v>
      </c>
      <c r="S22" t="s">
        <v>23</v>
      </c>
    </row>
    <row r="23" spans="1:19" x14ac:dyDescent="0.3">
      <c r="A23">
        <v>120842</v>
      </c>
      <c r="B23" t="s">
        <v>60</v>
      </c>
      <c r="C23" t="s">
        <v>59</v>
      </c>
      <c r="D23" t="s">
        <v>37</v>
      </c>
      <c r="E23" t="s">
        <v>22</v>
      </c>
      <c r="F23">
        <v>17.12</v>
      </c>
      <c r="G23">
        <v>18.23</v>
      </c>
      <c r="H23">
        <v>17.75</v>
      </c>
      <c r="I23">
        <v>16.32</v>
      </c>
      <c r="J23">
        <v>1.91</v>
      </c>
      <c r="K23">
        <v>1</v>
      </c>
      <c r="L23">
        <v>0.96</v>
      </c>
      <c r="M23">
        <v>1.27</v>
      </c>
      <c r="N23">
        <v>19</v>
      </c>
      <c r="O23">
        <v>-21.92</v>
      </c>
      <c r="P23">
        <v>47469</v>
      </c>
      <c r="Q23">
        <v>1.56</v>
      </c>
      <c r="R23">
        <v>4</v>
      </c>
      <c r="S23" t="s">
        <v>38</v>
      </c>
    </row>
    <row r="24" spans="1:19" x14ac:dyDescent="0.3">
      <c r="A24">
        <v>120843</v>
      </c>
      <c r="B24" t="s">
        <v>61</v>
      </c>
      <c r="C24" t="s">
        <v>59</v>
      </c>
      <c r="D24" t="s">
        <v>62</v>
      </c>
      <c r="E24" t="s">
        <v>22</v>
      </c>
      <c r="F24">
        <v>15.74</v>
      </c>
      <c r="G24">
        <v>15.65</v>
      </c>
      <c r="H24">
        <v>13.5</v>
      </c>
      <c r="I24">
        <v>13.8</v>
      </c>
      <c r="J24">
        <v>1.85</v>
      </c>
      <c r="K24">
        <v>0.95</v>
      </c>
      <c r="L24">
        <v>0.98</v>
      </c>
      <c r="M24">
        <v>1.57</v>
      </c>
      <c r="N24">
        <v>16</v>
      </c>
      <c r="O24">
        <v>-19.5</v>
      </c>
      <c r="P24">
        <v>35012</v>
      </c>
      <c r="Q24">
        <v>1.45</v>
      </c>
      <c r="R24">
        <v>5</v>
      </c>
      <c r="S24" t="s">
        <v>48</v>
      </c>
    </row>
    <row r="25" spans="1:19" x14ac:dyDescent="0.3">
      <c r="A25">
        <v>120844</v>
      </c>
      <c r="B25" t="s">
        <v>63</v>
      </c>
      <c r="C25" t="s">
        <v>59</v>
      </c>
      <c r="D25" t="s">
        <v>50</v>
      </c>
      <c r="E25" t="s">
        <v>22</v>
      </c>
      <c r="F25">
        <v>4.26</v>
      </c>
      <c r="G25">
        <v>6.18</v>
      </c>
      <c r="H25">
        <v>8.26</v>
      </c>
      <c r="I25">
        <v>4.66</v>
      </c>
      <c r="J25">
        <v>1.52</v>
      </c>
      <c r="K25">
        <v>0.47</v>
      </c>
      <c r="L25">
        <v>6.18</v>
      </c>
      <c r="M25">
        <v>9.6999999999999993</v>
      </c>
      <c r="N25">
        <v>0.5</v>
      </c>
      <c r="O25">
        <v>-3.81</v>
      </c>
      <c r="P25">
        <v>27623</v>
      </c>
      <c r="Q25">
        <v>0.6</v>
      </c>
      <c r="R25">
        <v>3</v>
      </c>
      <c r="S25" t="s">
        <v>32</v>
      </c>
    </row>
    <row r="26" spans="1:19" x14ac:dyDescent="0.3">
      <c r="A26">
        <v>119092</v>
      </c>
      <c r="B26" t="s">
        <v>64</v>
      </c>
      <c r="C26" t="s">
        <v>65</v>
      </c>
      <c r="D26" t="s">
        <v>21</v>
      </c>
      <c r="E26" t="s">
        <v>22</v>
      </c>
      <c r="F26">
        <v>11.82</v>
      </c>
      <c r="G26">
        <v>11.84</v>
      </c>
      <c r="H26">
        <v>14.14</v>
      </c>
      <c r="I26">
        <v>10.43</v>
      </c>
      <c r="J26">
        <v>1.41</v>
      </c>
      <c r="K26">
        <v>0.91</v>
      </c>
      <c r="L26">
        <v>0.85</v>
      </c>
      <c r="M26">
        <v>1.25</v>
      </c>
      <c r="N26">
        <v>14</v>
      </c>
      <c r="O26">
        <v>-27.54</v>
      </c>
      <c r="P26">
        <v>25803</v>
      </c>
      <c r="Q26">
        <v>1.64</v>
      </c>
      <c r="R26">
        <v>4</v>
      </c>
      <c r="S26" t="s">
        <v>23</v>
      </c>
    </row>
    <row r="27" spans="1:19" x14ac:dyDescent="0.3">
      <c r="A27">
        <v>119093</v>
      </c>
      <c r="B27" t="s">
        <v>66</v>
      </c>
      <c r="C27" t="s">
        <v>65</v>
      </c>
      <c r="D27" t="s">
        <v>21</v>
      </c>
      <c r="E27" t="s">
        <v>25</v>
      </c>
      <c r="F27">
        <v>13.95</v>
      </c>
      <c r="G27">
        <v>12.14</v>
      </c>
      <c r="H27">
        <v>13.66</v>
      </c>
      <c r="I27">
        <v>10.71</v>
      </c>
      <c r="J27">
        <v>1.43</v>
      </c>
      <c r="K27">
        <v>0.87</v>
      </c>
      <c r="L27">
        <v>0.87</v>
      </c>
      <c r="M27">
        <v>1.54</v>
      </c>
      <c r="N27">
        <v>14</v>
      </c>
      <c r="O27">
        <v>-17.399999999999999</v>
      </c>
      <c r="P27">
        <v>15866</v>
      </c>
      <c r="Q27">
        <v>0.75</v>
      </c>
      <c r="R27">
        <v>4</v>
      </c>
      <c r="S27" t="s">
        <v>23</v>
      </c>
    </row>
    <row r="28" spans="1:19" x14ac:dyDescent="0.3">
      <c r="A28">
        <v>119094</v>
      </c>
      <c r="B28" t="s">
        <v>67</v>
      </c>
      <c r="C28" t="s">
        <v>65</v>
      </c>
      <c r="D28" t="s">
        <v>37</v>
      </c>
      <c r="E28" t="s">
        <v>22</v>
      </c>
      <c r="F28">
        <v>14.88</v>
      </c>
      <c r="G28">
        <v>15.18</v>
      </c>
      <c r="H28">
        <v>18.940000000000001</v>
      </c>
      <c r="I28">
        <v>13.76</v>
      </c>
      <c r="J28">
        <v>1.42</v>
      </c>
      <c r="K28">
        <v>1</v>
      </c>
      <c r="L28">
        <v>0.8</v>
      </c>
      <c r="M28">
        <v>1.18</v>
      </c>
      <c r="N28">
        <v>19</v>
      </c>
      <c r="O28">
        <v>-32.380000000000003</v>
      </c>
      <c r="P28">
        <v>28996</v>
      </c>
      <c r="Q28">
        <v>1.38</v>
      </c>
      <c r="R28">
        <v>5</v>
      </c>
      <c r="S28" t="s">
        <v>38</v>
      </c>
    </row>
    <row r="29" spans="1:19" x14ac:dyDescent="0.3">
      <c r="A29">
        <v>119095</v>
      </c>
      <c r="B29" t="s">
        <v>68</v>
      </c>
      <c r="C29" t="s">
        <v>65</v>
      </c>
      <c r="D29" t="s">
        <v>27</v>
      </c>
      <c r="E29" t="s">
        <v>22</v>
      </c>
      <c r="F29">
        <v>21.97</v>
      </c>
      <c r="G29">
        <v>20.98</v>
      </c>
      <c r="H29">
        <v>22.62</v>
      </c>
      <c r="I29">
        <v>20.47</v>
      </c>
      <c r="J29">
        <v>0.51</v>
      </c>
      <c r="K29">
        <v>1</v>
      </c>
      <c r="L29">
        <v>0.84</v>
      </c>
      <c r="M29">
        <v>1.4</v>
      </c>
      <c r="N29">
        <v>25</v>
      </c>
      <c r="O29">
        <v>-14.45</v>
      </c>
      <c r="P29">
        <v>21545</v>
      </c>
      <c r="Q29">
        <v>1.38</v>
      </c>
      <c r="R29">
        <v>4</v>
      </c>
      <c r="S29" t="s">
        <v>28</v>
      </c>
    </row>
    <row r="30" spans="1:19" x14ac:dyDescent="0.3">
      <c r="A30">
        <v>101206</v>
      </c>
      <c r="B30" t="s">
        <v>69</v>
      </c>
      <c r="C30" t="s">
        <v>70</v>
      </c>
      <c r="D30" t="s">
        <v>21</v>
      </c>
      <c r="E30" t="s">
        <v>22</v>
      </c>
      <c r="F30">
        <v>14.82</v>
      </c>
      <c r="G30">
        <v>13.78</v>
      </c>
      <c r="H30">
        <v>12.86</v>
      </c>
      <c r="I30">
        <v>12.44</v>
      </c>
      <c r="J30">
        <v>1.34</v>
      </c>
      <c r="K30">
        <v>1.03</v>
      </c>
      <c r="L30">
        <v>0.98</v>
      </c>
      <c r="M30">
        <v>1.25</v>
      </c>
      <c r="N30">
        <v>14</v>
      </c>
      <c r="O30">
        <v>-15.07</v>
      </c>
      <c r="P30">
        <v>23500</v>
      </c>
      <c r="Q30">
        <v>1.6</v>
      </c>
      <c r="R30">
        <v>5</v>
      </c>
      <c r="S30" t="s">
        <v>23</v>
      </c>
    </row>
    <row r="31" spans="1:19" x14ac:dyDescent="0.3">
      <c r="A31">
        <v>101207</v>
      </c>
      <c r="B31" t="s">
        <v>71</v>
      </c>
      <c r="C31" t="s">
        <v>70</v>
      </c>
      <c r="D31" t="s">
        <v>27</v>
      </c>
      <c r="E31" t="s">
        <v>22</v>
      </c>
      <c r="F31">
        <v>24.93</v>
      </c>
      <c r="G31">
        <v>22.38</v>
      </c>
      <c r="H31">
        <v>23.8</v>
      </c>
      <c r="I31">
        <v>20.54</v>
      </c>
      <c r="J31">
        <v>1.84</v>
      </c>
      <c r="K31">
        <v>0.97</v>
      </c>
      <c r="L31">
        <v>0.9</v>
      </c>
      <c r="M31">
        <v>1.47</v>
      </c>
      <c r="N31">
        <v>25</v>
      </c>
      <c r="O31">
        <v>-23.61</v>
      </c>
      <c r="P31">
        <v>41613</v>
      </c>
      <c r="Q31">
        <v>1.53</v>
      </c>
      <c r="R31">
        <v>5</v>
      </c>
      <c r="S31" t="s">
        <v>28</v>
      </c>
    </row>
    <row r="32" spans="1:19" x14ac:dyDescent="0.3">
      <c r="A32">
        <v>101208</v>
      </c>
      <c r="B32" t="s">
        <v>72</v>
      </c>
      <c r="C32" t="s">
        <v>70</v>
      </c>
      <c r="D32" t="s">
        <v>50</v>
      </c>
      <c r="E32" t="s">
        <v>22</v>
      </c>
      <c r="F32">
        <v>6.18</v>
      </c>
      <c r="G32">
        <v>5.14</v>
      </c>
      <c r="H32">
        <v>7.95</v>
      </c>
      <c r="I32">
        <v>3.96</v>
      </c>
      <c r="J32">
        <v>1.18</v>
      </c>
      <c r="K32">
        <v>0.43</v>
      </c>
      <c r="L32">
        <v>5.14</v>
      </c>
      <c r="M32">
        <v>8.76</v>
      </c>
      <c r="N32">
        <v>0.5</v>
      </c>
      <c r="O32">
        <v>-3.66</v>
      </c>
      <c r="P32">
        <v>38995</v>
      </c>
      <c r="Q32">
        <v>0.79</v>
      </c>
      <c r="R32">
        <v>5</v>
      </c>
      <c r="S32" t="s">
        <v>32</v>
      </c>
    </row>
    <row r="33" spans="1:19" x14ac:dyDescent="0.3">
      <c r="A33">
        <v>102885</v>
      </c>
      <c r="B33" t="s">
        <v>73</v>
      </c>
      <c r="C33" t="s">
        <v>74</v>
      </c>
      <c r="D33" t="s">
        <v>75</v>
      </c>
      <c r="E33" t="s">
        <v>22</v>
      </c>
      <c r="F33">
        <v>13.76</v>
      </c>
      <c r="G33">
        <v>12.1</v>
      </c>
      <c r="H33">
        <v>11.31</v>
      </c>
      <c r="I33">
        <v>11.17</v>
      </c>
      <c r="J33">
        <v>0.93</v>
      </c>
      <c r="K33">
        <v>0.9</v>
      </c>
      <c r="L33">
        <v>0.93</v>
      </c>
      <c r="M33">
        <v>1.29</v>
      </c>
      <c r="N33">
        <v>13</v>
      </c>
      <c r="O33">
        <v>-24.42</v>
      </c>
      <c r="P33">
        <v>7350</v>
      </c>
      <c r="Q33">
        <v>1.57</v>
      </c>
      <c r="R33">
        <v>4</v>
      </c>
      <c r="S33" t="s">
        <v>23</v>
      </c>
    </row>
    <row r="34" spans="1:19" x14ac:dyDescent="0.3">
      <c r="A34">
        <v>102886</v>
      </c>
      <c r="B34" t="s">
        <v>76</v>
      </c>
      <c r="C34" t="s">
        <v>74</v>
      </c>
      <c r="D34" t="s">
        <v>37</v>
      </c>
      <c r="E34" t="s">
        <v>22</v>
      </c>
      <c r="F34">
        <v>16.3</v>
      </c>
      <c r="G34">
        <v>15.61</v>
      </c>
      <c r="H34">
        <v>15.86</v>
      </c>
      <c r="I34">
        <v>14.49</v>
      </c>
      <c r="J34">
        <v>1.1200000000000001</v>
      </c>
      <c r="K34">
        <v>0.92</v>
      </c>
      <c r="L34">
        <v>0.82</v>
      </c>
      <c r="M34">
        <v>1.21</v>
      </c>
      <c r="N34">
        <v>19</v>
      </c>
      <c r="O34">
        <v>-13.43</v>
      </c>
      <c r="P34">
        <v>41728</v>
      </c>
      <c r="Q34">
        <v>1.51</v>
      </c>
      <c r="R34">
        <v>5</v>
      </c>
      <c r="S34" t="s">
        <v>38</v>
      </c>
    </row>
    <row r="35" spans="1:19" x14ac:dyDescent="0.3">
      <c r="A35">
        <v>102887</v>
      </c>
      <c r="B35" t="s">
        <v>77</v>
      </c>
      <c r="C35" t="s">
        <v>74</v>
      </c>
      <c r="D35" t="s">
        <v>62</v>
      </c>
      <c r="E35" t="s">
        <v>22</v>
      </c>
      <c r="F35">
        <v>17.43</v>
      </c>
      <c r="G35">
        <v>15.34</v>
      </c>
      <c r="H35">
        <v>15.78</v>
      </c>
      <c r="I35">
        <v>13.55</v>
      </c>
      <c r="J35">
        <v>1.79</v>
      </c>
      <c r="K35">
        <v>1</v>
      </c>
      <c r="L35">
        <v>0.96</v>
      </c>
      <c r="M35">
        <v>1.37</v>
      </c>
      <c r="N35">
        <v>16</v>
      </c>
      <c r="O35">
        <v>-12.14</v>
      </c>
      <c r="P35">
        <v>17912</v>
      </c>
      <c r="Q35">
        <v>1.64</v>
      </c>
      <c r="R35">
        <v>5</v>
      </c>
      <c r="S35" t="s">
        <v>48</v>
      </c>
    </row>
    <row r="36" spans="1:19" x14ac:dyDescent="0.3">
      <c r="A36">
        <v>148567</v>
      </c>
      <c r="B36" t="s">
        <v>78</v>
      </c>
      <c r="C36" t="s">
        <v>79</v>
      </c>
      <c r="D36" t="s">
        <v>21</v>
      </c>
      <c r="E36" t="s">
        <v>22</v>
      </c>
      <c r="F36">
        <v>15.12</v>
      </c>
      <c r="G36">
        <v>14.81</v>
      </c>
      <c r="H36">
        <v>12.68</v>
      </c>
      <c r="I36">
        <v>13.19</v>
      </c>
      <c r="J36">
        <v>1.62</v>
      </c>
      <c r="K36">
        <v>0.96</v>
      </c>
      <c r="L36">
        <v>1.06</v>
      </c>
      <c r="M36">
        <v>1.66</v>
      </c>
      <c r="N36">
        <v>14</v>
      </c>
      <c r="O36">
        <v>-17.07</v>
      </c>
      <c r="P36">
        <v>11361</v>
      </c>
      <c r="Q36">
        <v>1.46</v>
      </c>
      <c r="R36">
        <v>5</v>
      </c>
      <c r="S36" t="s">
        <v>23</v>
      </c>
    </row>
    <row r="37" spans="1:19" x14ac:dyDescent="0.3">
      <c r="A37">
        <v>148568</v>
      </c>
      <c r="B37" t="s">
        <v>80</v>
      </c>
      <c r="C37" t="s">
        <v>79</v>
      </c>
      <c r="D37" t="s">
        <v>81</v>
      </c>
      <c r="E37" t="s">
        <v>22</v>
      </c>
      <c r="F37">
        <v>14.91</v>
      </c>
      <c r="G37">
        <v>14.56</v>
      </c>
      <c r="H37">
        <v>15.68</v>
      </c>
      <c r="I37">
        <v>12.86</v>
      </c>
      <c r="J37">
        <v>1.7</v>
      </c>
      <c r="K37">
        <v>0.99</v>
      </c>
      <c r="L37">
        <v>0.91</v>
      </c>
      <c r="M37">
        <v>1.55</v>
      </c>
      <c r="N37">
        <v>16</v>
      </c>
      <c r="O37">
        <v>-33.15</v>
      </c>
      <c r="P37">
        <v>49046</v>
      </c>
      <c r="Q37">
        <v>1.52</v>
      </c>
      <c r="R37">
        <v>5</v>
      </c>
      <c r="S37" t="s">
        <v>48</v>
      </c>
    </row>
    <row r="38" spans="1:19" x14ac:dyDescent="0.3">
      <c r="A38">
        <v>148569</v>
      </c>
      <c r="B38" t="s">
        <v>82</v>
      </c>
      <c r="C38" t="s">
        <v>79</v>
      </c>
      <c r="D38" t="s">
        <v>83</v>
      </c>
      <c r="E38" t="s">
        <v>22</v>
      </c>
      <c r="F38">
        <v>11.16</v>
      </c>
      <c r="G38">
        <v>13.58</v>
      </c>
      <c r="H38">
        <v>14.26</v>
      </c>
      <c r="I38">
        <v>13.04</v>
      </c>
      <c r="J38">
        <v>0.54</v>
      </c>
      <c r="K38">
        <v>0.98</v>
      </c>
      <c r="L38">
        <v>0.8</v>
      </c>
      <c r="M38">
        <v>1.03</v>
      </c>
      <c r="N38">
        <v>17</v>
      </c>
      <c r="O38">
        <v>-22.62</v>
      </c>
      <c r="P38">
        <v>2989</v>
      </c>
      <c r="Q38">
        <v>1.6</v>
      </c>
      <c r="R38">
        <v>5</v>
      </c>
      <c r="S38" t="s">
        <v>38</v>
      </c>
    </row>
    <row r="39" spans="1:19" x14ac:dyDescent="0.3">
      <c r="A39">
        <v>149322</v>
      </c>
      <c r="B39" t="s">
        <v>84</v>
      </c>
      <c r="C39" t="s">
        <v>85</v>
      </c>
      <c r="D39" t="s">
        <v>21</v>
      </c>
      <c r="E39" t="s">
        <v>22</v>
      </c>
      <c r="F39">
        <v>11.96</v>
      </c>
      <c r="G39">
        <v>12.82</v>
      </c>
      <c r="H39">
        <v>12.35</v>
      </c>
      <c r="I39">
        <v>11</v>
      </c>
      <c r="J39">
        <v>1.82</v>
      </c>
      <c r="K39">
        <v>0.91</v>
      </c>
      <c r="L39">
        <v>0.92</v>
      </c>
      <c r="M39">
        <v>1.63</v>
      </c>
      <c r="N39">
        <v>14</v>
      </c>
      <c r="O39">
        <v>-21.7</v>
      </c>
      <c r="P39">
        <v>41828</v>
      </c>
      <c r="Q39">
        <v>1.54</v>
      </c>
      <c r="R39">
        <v>5</v>
      </c>
      <c r="S39" t="s">
        <v>23</v>
      </c>
    </row>
    <row r="40" spans="1:19" x14ac:dyDescent="0.3">
      <c r="A40">
        <v>149323</v>
      </c>
      <c r="B40" t="s">
        <v>86</v>
      </c>
      <c r="C40" t="s">
        <v>85</v>
      </c>
      <c r="D40" t="s">
        <v>37</v>
      </c>
      <c r="E40" t="s">
        <v>22</v>
      </c>
      <c r="F40">
        <v>14.12</v>
      </c>
      <c r="G40">
        <v>17.16</v>
      </c>
      <c r="H40">
        <v>19</v>
      </c>
      <c r="I40">
        <v>16.14</v>
      </c>
      <c r="J40">
        <v>1.02</v>
      </c>
      <c r="K40">
        <v>0.98</v>
      </c>
      <c r="L40">
        <v>0.9</v>
      </c>
      <c r="M40">
        <v>1.5</v>
      </c>
      <c r="N40">
        <v>19</v>
      </c>
      <c r="O40">
        <v>-26.99</v>
      </c>
      <c r="P40">
        <v>37835</v>
      </c>
      <c r="Q40">
        <v>1.61</v>
      </c>
      <c r="R40">
        <v>4</v>
      </c>
      <c r="S40" t="s">
        <v>38</v>
      </c>
    </row>
    <row r="41" spans="1:19" x14ac:dyDescent="0.3">
      <c r="A41">
        <v>149324</v>
      </c>
      <c r="B41" t="s">
        <v>87</v>
      </c>
      <c r="C41" t="s">
        <v>85</v>
      </c>
      <c r="D41" t="s">
        <v>27</v>
      </c>
      <c r="E41" t="s">
        <v>22</v>
      </c>
      <c r="F41">
        <v>20.2</v>
      </c>
      <c r="G41">
        <v>20.079999999999998</v>
      </c>
      <c r="H41">
        <v>20.61</v>
      </c>
      <c r="I41">
        <v>19.39</v>
      </c>
      <c r="J41">
        <v>0.69</v>
      </c>
      <c r="K41">
        <v>0.98</v>
      </c>
      <c r="L41">
        <v>0.8</v>
      </c>
      <c r="M41">
        <v>1.23</v>
      </c>
      <c r="N41">
        <v>25</v>
      </c>
      <c r="O41">
        <v>-17.010000000000002</v>
      </c>
      <c r="P41">
        <v>35124</v>
      </c>
      <c r="Q41">
        <v>1.52</v>
      </c>
      <c r="R41">
        <v>4</v>
      </c>
      <c r="S41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B795-A98E-43BA-B71B-AC45708AA3E7}">
  <dimension ref="A1:J3"/>
  <sheetViews>
    <sheetView tabSelected="1" workbookViewId="0">
      <selection activeCell="B1" sqref="B1:E1"/>
    </sheetView>
  </sheetViews>
  <sheetFormatPr defaultRowHeight="14.4" x14ac:dyDescent="0.3"/>
  <cols>
    <col min="1" max="1" width="19.6640625" customWidth="1"/>
    <col min="2" max="2" width="14.21875" customWidth="1"/>
    <col min="3" max="3" width="18.88671875" customWidth="1"/>
    <col min="4" max="4" width="9.109375" bestFit="1" customWidth="1"/>
    <col min="5" max="5" width="23.6640625" customWidth="1"/>
    <col min="6" max="6" width="11.33203125" bestFit="1" customWidth="1"/>
    <col min="7" max="7" width="24.21875" customWidth="1"/>
    <col min="8" max="8" width="9.6640625" bestFit="1" customWidth="1"/>
    <col min="9" max="9" width="16.77734375" customWidth="1"/>
    <col min="10" max="10" width="12.21875" bestFit="1" customWidth="1"/>
  </cols>
  <sheetData>
    <row r="1" spans="1:10" ht="23.4" x14ac:dyDescent="0.45">
      <c r="B1" s="6" t="s">
        <v>93</v>
      </c>
      <c r="C1" s="6"/>
      <c r="D1" s="6"/>
      <c r="E1" s="6"/>
    </row>
    <row r="3" spans="1:10" ht="18" x14ac:dyDescent="0.35">
      <c r="A3" s="4" t="s">
        <v>94</v>
      </c>
      <c r="B3" s="4">
        <v>40</v>
      </c>
      <c r="C3" s="4" t="s">
        <v>95</v>
      </c>
      <c r="D3" s="4">
        <v>10</v>
      </c>
      <c r="E3" s="4" t="s">
        <v>96</v>
      </c>
      <c r="F3" s="5">
        <v>0.1452</v>
      </c>
      <c r="G3" s="4" t="s">
        <v>97</v>
      </c>
      <c r="H3" s="5">
        <v>1.24E-2</v>
      </c>
      <c r="I3" s="4" t="s">
        <v>98</v>
      </c>
      <c r="J3" s="4">
        <v>26091.599999999999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cleaned_scheme_performance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P</dc:creator>
  <cp:lastModifiedBy>Nisarga P</cp:lastModifiedBy>
  <dcterms:created xsi:type="dcterms:W3CDTF">2026-08-01T07:00:45Z</dcterms:created>
  <dcterms:modified xsi:type="dcterms:W3CDTF">2026-08-01T09:28:55Z</dcterms:modified>
</cp:coreProperties>
</file>